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ianaBairral\Desktop\"/>
    </mc:Choice>
  </mc:AlternateContent>
  <xr:revisionPtr revIDLastSave="0" documentId="8_{F7FC42A6-5CDE-4C61-83F9-56F249B014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T CABOS" sheetId="20" r:id="rId1"/>
    <sheet name="IT CABOS (2)" sheetId="26" r:id="rId2"/>
    <sheet name="IT TUBOS" sheetId="23" r:id="rId3"/>
  </sheets>
  <definedNames>
    <definedName name="CABEÇALHO" localSheetId="1">'IT CABOS (2)'!$B$1:$L$4</definedName>
    <definedName name="CABEÇALHO" localSheetId="2">'IT TUBOS'!$A$1:$L$4</definedName>
    <definedName name="CABEÇALHO">'IT CABOS'!$B$1:$L$4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" i="26" l="1"/>
  <c r="J4" i="23" s="1"/>
  <c r="I2" i="26"/>
  <c r="L4" i="26"/>
  <c r="I4" i="26"/>
  <c r="L4" i="23"/>
  <c r="I4" i="23"/>
  <c r="H2" i="23"/>
  <c r="E4" i="23"/>
  <c r="B4" i="23"/>
  <c r="A4" i="23"/>
  <c r="K2" i="23"/>
  <c r="J2" i="23"/>
  <c r="I2" i="23"/>
</calcChain>
</file>

<file path=xl/sharedStrings.xml><?xml version="1.0" encoding="utf-8"?>
<sst xmlns="http://schemas.openxmlformats.org/spreadsheetml/2006/main" count="523" uniqueCount="216">
  <si>
    <t>PROCESSAMENTO DE CABOS</t>
  </si>
  <si>
    <t>Descrição do Produto</t>
  </si>
  <si>
    <t>Código</t>
  </si>
  <si>
    <t>Elaborado</t>
  </si>
  <si>
    <t>Revisado</t>
  </si>
  <si>
    <t>Aprovado</t>
  </si>
  <si>
    <t>Pág.</t>
  </si>
  <si>
    <t>CHICOTE ELÉTRICO - MOTOR D229-3/4 BD (970000770346)</t>
  </si>
  <si>
    <t>MWM030 000 000</t>
  </si>
  <si>
    <t>N.Cesar</t>
  </si>
  <si>
    <t>H.Braga</t>
  </si>
  <si>
    <t>V.Lemos</t>
  </si>
  <si>
    <t>1 / 3</t>
  </si>
  <si>
    <t>Data</t>
  </si>
  <si>
    <t>Descrição</t>
  </si>
  <si>
    <t>Rev.</t>
  </si>
  <si>
    <t>Setor</t>
  </si>
  <si>
    <t>Departamento</t>
  </si>
  <si>
    <t>Localização</t>
  </si>
  <si>
    <t>Nº Revisão</t>
  </si>
  <si>
    <t>Descrição da Alteração</t>
  </si>
  <si>
    <t>Emissão Inicial</t>
  </si>
  <si>
    <t>01</t>
  </si>
  <si>
    <t>Corte / Crimp</t>
  </si>
  <si>
    <t>Produção</t>
  </si>
  <si>
    <t>10 / 12 / 20 / 33</t>
  </si>
  <si>
    <t>03</t>
  </si>
  <si>
    <t>Defeito potencial 186</t>
  </si>
  <si>
    <t>GRAVAÇÃO</t>
  </si>
  <si>
    <t>COMP</t>
  </si>
  <si>
    <t>TIPO</t>
  </si>
  <si>
    <t>TERMINAL A</t>
  </si>
  <si>
    <t>DESP. A</t>
  </si>
  <si>
    <t>CAV. A</t>
  </si>
  <si>
    <t>CONECT A</t>
  </si>
  <si>
    <t>TERMINAL B</t>
  </si>
  <si>
    <t>DESP. B</t>
  </si>
  <si>
    <t>CAV. B</t>
  </si>
  <si>
    <t>CONECT B</t>
  </si>
  <si>
    <t>OBS:</t>
  </si>
  <si>
    <t>31MP1-XP1:1 / 01</t>
  </si>
  <si>
    <t>CFR0150CZ</t>
  </si>
  <si>
    <r>
      <t>TMOES105BT4060</t>
    </r>
    <r>
      <rPr>
        <b/>
        <sz val="11"/>
        <rFont val="Calibri"/>
        <family val="2"/>
      </rPr>
      <t>(DP02)</t>
    </r>
  </si>
  <si>
    <t>10.0</t>
  </si>
  <si>
    <t>X</t>
  </si>
  <si>
    <t>PONTA LIVRE (31MP1-1)</t>
  </si>
  <si>
    <t>TMFCPNS00BT0715TY</t>
  </si>
  <si>
    <t>3.5</t>
  </si>
  <si>
    <t>1</t>
  </si>
  <si>
    <t>CNMCPC24PR (C1)</t>
  </si>
  <si>
    <t>31MP1 / 02</t>
  </si>
  <si>
    <r>
      <t>TMOES105BT4060</t>
    </r>
    <r>
      <rPr>
        <b/>
        <sz val="11"/>
        <rFont val="Calibri"/>
        <family val="2"/>
      </rPr>
      <t>(DP01)</t>
    </r>
  </si>
  <si>
    <t>SOLDA ULTRASSÔNICA</t>
  </si>
  <si>
    <t>16.0</t>
  </si>
  <si>
    <t>BONDER (BAT-)</t>
  </si>
  <si>
    <t>31MP1-XP11:1 / 03</t>
  </si>
  <si>
    <t>TMFMLES00BT1025</t>
  </si>
  <si>
    <t>4.0</t>
  </si>
  <si>
    <t>CNMML03NT (C3)</t>
  </si>
  <si>
    <t>31MP1-PL1:2 / 04</t>
  </si>
  <si>
    <t>CFR0100CZ</t>
  </si>
  <si>
    <t>TMFFTES63BT1025ST</t>
  </si>
  <si>
    <t>5.0</t>
  </si>
  <si>
    <t>PONTA LIVRE (PL1-2)</t>
  </si>
  <si>
    <t>31MP1-B8:2 / 05</t>
  </si>
  <si>
    <t>PONTA LIVRE (B8-2)</t>
  </si>
  <si>
    <t>31MP1-B5:2 / 06</t>
  </si>
  <si>
    <t>TMFBDES63BT0515</t>
  </si>
  <si>
    <t>CAPCB01PR (B5-2)</t>
  </si>
  <si>
    <t>31MP1-XP9:5 / 07</t>
  </si>
  <si>
    <t>TMFDTNS00BT1025</t>
  </si>
  <si>
    <t>CNFAT12CZ (C2)</t>
  </si>
  <si>
    <t>31MP1-XP1:2 / 08</t>
  </si>
  <si>
    <t>2</t>
  </si>
  <si>
    <t>30MP1-G1 B+ / 09</t>
  </si>
  <si>
    <t>CFR0600CZ</t>
  </si>
  <si>
    <r>
      <t>TMOES105BT60100</t>
    </r>
    <r>
      <rPr>
        <b/>
        <sz val="11"/>
        <rFont val="Calibri"/>
        <family val="2"/>
      </rPr>
      <t>(DP11)</t>
    </r>
  </si>
  <si>
    <t>PONTA LIVRE (30MP1-2)</t>
  </si>
  <si>
    <t>TMOES84BT4060</t>
  </si>
  <si>
    <t>PONTA LIVRE (G1 B+)</t>
  </si>
  <si>
    <t>XP1:3-30MP1 / 10</t>
  </si>
  <si>
    <t>TMFMPES00BT1020</t>
  </si>
  <si>
    <t>B</t>
  </si>
  <si>
    <t>CNMPFDH02PR (F1)</t>
  </si>
  <si>
    <t>FUSIVEL 15A</t>
  </si>
  <si>
    <t>XP1:3-30MP1 / 11</t>
  </si>
  <si>
    <t>A</t>
  </si>
  <si>
    <r>
      <t>TMOES105BT60100</t>
    </r>
    <r>
      <rPr>
        <b/>
        <sz val="11"/>
        <rFont val="Calibri"/>
        <family val="2"/>
      </rPr>
      <t>(DP09)</t>
    </r>
  </si>
  <si>
    <t>PONTA LIVRE (30MP1-1)</t>
  </si>
  <si>
    <t>XP1:4-G1 D+ / 12</t>
  </si>
  <si>
    <t>TMOES52BT0725</t>
  </si>
  <si>
    <t>PONTA LIVRE (G1 D+)</t>
  </si>
  <si>
    <t>XP1:5 / 13</t>
  </si>
  <si>
    <t>BONDER C1</t>
  </si>
  <si>
    <t>XP1:5-XP9:1 / 14</t>
  </si>
  <si>
    <t>XP1:5-Y1 / 15</t>
  </si>
  <si>
    <t>PONTA LIVRE (Y1)</t>
  </si>
  <si>
    <t>XP1:6-Y3 / 16</t>
  </si>
  <si>
    <t>TMOES63BT0510</t>
  </si>
  <si>
    <t>PONTA LIVRE (Y3)</t>
  </si>
  <si>
    <t>XP1:7-B2 / 17</t>
  </si>
  <si>
    <t>PONTA LIVRE (B2)</t>
  </si>
  <si>
    <t>XP1:8-B5:1 / 18</t>
  </si>
  <si>
    <t>CAPCB01PR (B5-1)</t>
  </si>
  <si>
    <t>XP1:9-B1 / 19</t>
  </si>
  <si>
    <t>PONTA LIVRE (B1)</t>
  </si>
  <si>
    <t>XP1:10-PL1:1 / 20</t>
  </si>
  <si>
    <t>PONTA LIVRE (PL1-1)</t>
  </si>
  <si>
    <t>XP1:11-B8:1 / 21</t>
  </si>
  <si>
    <t>PONTA LIVRE (B8-1)</t>
  </si>
  <si>
    <t>XP1:12-XP9:9 / 22</t>
  </si>
  <si>
    <t>FIXAR ETIQUETA DE APROVADO A 200MM DO C1 E NA EMBALAGEM PLASTICA SCPL42X60X020TR / OS CABOS DEVEM SER GRAVADO DE 30 A 30MM.</t>
  </si>
  <si>
    <t>LEGENDA</t>
  </si>
  <si>
    <t>(DP **)</t>
  </si>
  <si>
    <t>CRIMP. DUPLA</t>
  </si>
  <si>
    <t>LOCALIZAÇÃO:</t>
  </si>
  <si>
    <t>10 - CORTE / CRIMP.</t>
  </si>
  <si>
    <t>30 - PRÉ MONTAGEM</t>
  </si>
  <si>
    <t>36 - ETIQUETAGEM</t>
  </si>
  <si>
    <t>TOLERÂNCIA</t>
  </si>
  <si>
    <t>menor que 100mm</t>
  </si>
  <si>
    <t xml:space="preserve"> - 0mm  / + 5mm</t>
  </si>
  <si>
    <t>(TR **)</t>
  </si>
  <si>
    <t>CIRC. TRANÇADOS</t>
  </si>
  <si>
    <t>12 - DECAPAGEM</t>
  </si>
  <si>
    <t>33 - MONTAGEM BANCADA</t>
  </si>
  <si>
    <t>40 - CORTE TUBOS</t>
  </si>
  <si>
    <t>101mm - 1000mm</t>
  </si>
  <si>
    <t xml:space="preserve"> - 0mm  / + 10mm</t>
  </si>
  <si>
    <t>(TP **)</t>
  </si>
  <si>
    <t>CRIMP. TRIPLA</t>
  </si>
  <si>
    <t>20 - APLICAÇÃO</t>
  </si>
  <si>
    <t>34 - PROCESSO DE SOLDA</t>
  </si>
  <si>
    <t>120 - MONT. TÉCNICA</t>
  </si>
  <si>
    <t>maior que 1001mm</t>
  </si>
  <si>
    <t xml:space="preserve"> - 0mm  / + 25mm</t>
  </si>
  <si>
    <t>J. Saldanha</t>
  </si>
  <si>
    <t>2 / 3</t>
  </si>
  <si>
    <t>XP1:13-XP9:10 / 23</t>
  </si>
  <si>
    <r>
      <t>TMFCPNS00BT0715TY (</t>
    </r>
    <r>
      <rPr>
        <sz val="11"/>
        <color rgb="FFFF0000"/>
        <rFont val="Calibri"/>
        <family val="2"/>
      </rPr>
      <t>TR02</t>
    </r>
    <r>
      <rPr>
        <sz val="11"/>
        <rFont val="Calibri"/>
        <family val="2"/>
      </rPr>
      <t>)</t>
    </r>
  </si>
  <si>
    <r>
      <t>TMFDTNS00BT1025 (</t>
    </r>
    <r>
      <rPr>
        <sz val="11"/>
        <color rgb="FFFF0000"/>
        <rFont val="Calibri"/>
        <family val="2"/>
      </rPr>
      <t>TR01</t>
    </r>
    <r>
      <rPr>
        <sz val="11"/>
        <rFont val="Calibri"/>
        <family val="2"/>
      </rPr>
      <t>)</t>
    </r>
  </si>
  <si>
    <t>TRANÇADO</t>
  </si>
  <si>
    <t>XP9:3 / 24</t>
  </si>
  <si>
    <t>BONDER C2</t>
  </si>
  <si>
    <t>XP9:3-XP1:14 / 25</t>
  </si>
  <si>
    <t>XP9:3-B6:1  / 26</t>
  </si>
  <si>
    <r>
      <t>TMFFTES63BT1025ST (</t>
    </r>
    <r>
      <rPr>
        <sz val="11"/>
        <color rgb="FFFF0000"/>
        <rFont val="Calibri"/>
        <family val="2"/>
      </rPr>
      <t>TR03</t>
    </r>
    <r>
      <rPr>
        <sz val="11"/>
        <rFont val="Calibri"/>
        <family val="2"/>
      </rPr>
      <t>)</t>
    </r>
  </si>
  <si>
    <t>PONTA LIVRE (B6-1)</t>
  </si>
  <si>
    <t>XP9:11-B6:2 / 27</t>
  </si>
  <si>
    <t>PONTA LIVRE (B6-2)</t>
  </si>
  <si>
    <t>XP1:19-XP11:2 / 28</t>
  </si>
  <si>
    <t>XP1:20-XP11:3 / 29</t>
  </si>
  <si>
    <r>
      <t xml:space="preserve">NOTA 1: TR01 FICAR COM 340mm ATÉ BONDER. </t>
    </r>
    <r>
      <rPr>
        <b/>
        <sz val="12"/>
        <color rgb="FFFF0000"/>
        <rFont val="Calibri"/>
        <family val="2"/>
      </rPr>
      <t xml:space="preserve"> NOTA 2: TR02 FICAR COM 1550mm ATÉ BONDER.</t>
    </r>
    <r>
      <rPr>
        <b/>
        <sz val="12"/>
        <rFont val="Calibri"/>
        <family val="2"/>
      </rPr>
      <t xml:space="preserve">                                                                                                                                                                     </t>
    </r>
    <r>
      <rPr>
        <b/>
        <sz val="12"/>
        <color rgb="FF00B0F0"/>
        <rFont val="Calibri"/>
        <family val="2"/>
      </rPr>
      <t>NOTA 3: TR03 FICAR COM 320 mm ATÉ BONDER E DEIXAR 100MM SEM TRANÇAR.</t>
    </r>
  </si>
  <si>
    <t>PROCESSAMENTO DE TUBOS</t>
  </si>
  <si>
    <t>CHICOTE ELÉTRICO DO PAINEL 2.0 (GR-2-08223-7)</t>
  </si>
  <si>
    <t>3 / 3</t>
  </si>
  <si>
    <t>Corte Tubos</t>
  </si>
  <si>
    <t>40</t>
  </si>
  <si>
    <t>CIRC</t>
  </si>
  <si>
    <t>QUANT.</t>
  </si>
  <si>
    <t>DESCRIÇÃO ACABAMENTO</t>
  </si>
  <si>
    <t>TRECHO</t>
  </si>
  <si>
    <t>MMD30</t>
  </si>
  <si>
    <t>TBCGNW13CC</t>
  </si>
  <si>
    <t>1 PEÇA</t>
  </si>
  <si>
    <t>CONDUITE CORRUGADO NW 13mm (C / CORTE) - PR</t>
  </si>
  <si>
    <t>C1</t>
  </si>
  <si>
    <t>MMD31</t>
  </si>
  <si>
    <t>DO PONTO B AO C</t>
  </si>
  <si>
    <t>MMD32</t>
  </si>
  <si>
    <t>DO PONTO A AO B</t>
  </si>
  <si>
    <t>MMD33</t>
  </si>
  <si>
    <t>TBCGNW10CC</t>
  </si>
  <si>
    <t>CONDUITE CORRUGADO NW 10mm (C / CORTE) - PR</t>
  </si>
  <si>
    <t>C2.Y1</t>
  </si>
  <si>
    <t>MMD34</t>
  </si>
  <si>
    <t>C3.PL1</t>
  </si>
  <si>
    <t>MMD35</t>
  </si>
  <si>
    <t>TBCGNW085CC</t>
  </si>
  <si>
    <t>CONDUITE CORRUGADO NW 8,5mm (C / CORTE) - PR</t>
  </si>
  <si>
    <t>B1.B5</t>
  </si>
  <si>
    <t>MMD36</t>
  </si>
  <si>
    <t>2 PEÇAS</t>
  </si>
  <si>
    <t xml:space="preserve"> 31 MP1 / G1.B+</t>
  </si>
  <si>
    <t>MMD37</t>
  </si>
  <si>
    <t>TBCGNW045CC</t>
  </si>
  <si>
    <t>3 PEÇA</t>
  </si>
  <si>
    <t>CONDUITE CORRUGADO NW 4,5mm (C / CORTE) - PR</t>
  </si>
  <si>
    <t>Y3 / G1.D+ / B2</t>
  </si>
  <si>
    <t>MMD38</t>
  </si>
  <si>
    <t>TBRET19PRCC</t>
  </si>
  <si>
    <t xml:space="preserve">TUBO T-RETRATIL 19 mm (C/ Cola) 125° C PR	</t>
  </si>
  <si>
    <t xml:space="preserve">C1 / B2.B8.G1 </t>
  </si>
  <si>
    <t>MMD39</t>
  </si>
  <si>
    <t>TBRET15PRCC</t>
  </si>
  <si>
    <t>3 PEÇAS</t>
  </si>
  <si>
    <t xml:space="preserve">TUBO T-RETRATIL 15 mm (C/ Cola) 125° C PR	</t>
  </si>
  <si>
    <t>C2.Y1 / B1.B5 / C3.PL1</t>
  </si>
  <si>
    <t>MMD40</t>
  </si>
  <si>
    <t>TBRET09PRCC</t>
  </si>
  <si>
    <t xml:space="preserve">TUBO T-RETRATIL 9 mm (C/ Cola) 125° C PR	</t>
  </si>
  <si>
    <t>OLHAL 30MP1-2</t>
  </si>
  <si>
    <t>MMD41</t>
  </si>
  <si>
    <t>TBRET06PRCC</t>
  </si>
  <si>
    <t xml:space="preserve">TUBO T-RETRATIL 6 mm (C/ Cola) 125° C PR	</t>
  </si>
  <si>
    <t xml:space="preserve"> G1 B+ / 31MP1-1 / BONDER (BAT-)</t>
  </si>
  <si>
    <t>MMD42</t>
  </si>
  <si>
    <t>TBRET04PRCC</t>
  </si>
  <si>
    <t>6 PEÇAS</t>
  </si>
  <si>
    <t xml:space="preserve">TUBO T-RETRATIL 4 mm (C/ Cola) 125° C PR	</t>
  </si>
  <si>
    <t>BONDER C1 / BONDER C2 / B1 / B2 / Y3 / G1 D+</t>
  </si>
  <si>
    <t>MMD43</t>
  </si>
  <si>
    <t>TBRET064PRSC</t>
  </si>
  <si>
    <t>7 PEÇAS</t>
  </si>
  <si>
    <t>TUBO T-RETRATIL 6,4 mm (1/4) 125° C PR</t>
  </si>
  <si>
    <t>SOBRE OS TERMINAIS TMFFTES63BT1025ST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</si>
</sst>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4" x14ac:knownFonts="1">
    <font>
      <sz val="10"/>
      <name val="Arial"/>
    </font>
    <font>
      <sz val="10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z val="8"/>
      <name val="Arial"/>
    </font>
    <font>
      <sz val="8"/>
      <name val="Arial"/>
      <family val="2"/>
    </font>
    <font>
      <sz val="11"/>
      <color rgb="FFFF0000"/>
      <name val="Calibri"/>
      <family val="2"/>
    </font>
    <font>
      <b/>
      <sz val="12"/>
      <name val="Calibri"/>
      <family val="2"/>
    </font>
    <font>
      <b/>
      <sz val="12"/>
      <color rgb="FFFF0000"/>
      <name val="Calibri"/>
      <family val="2"/>
    </font>
    <font>
      <b/>
      <sz val="12"/>
      <color rgb="FF00B0F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14" fontId="6" fillId="3" borderId="8" xfId="0" applyNumberFormat="1" applyFont="1" applyFill="1" applyBorder="1" applyAlignment="1">
      <alignment horizontal="center" vertical="center"/>
    </xf>
    <xf numFmtId="14" fontId="1" fillId="2" borderId="10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9" fontId="6" fillId="2" borderId="10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2" fontId="1" fillId="2" borderId="7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49" fontId="2" fillId="4" borderId="4" xfId="0" applyNumberFormat="1" applyFont="1" applyFill="1" applyBorder="1" applyAlignment="1">
      <alignment horizontal="center" vertical="center" wrapText="1"/>
    </xf>
    <xf numFmtId="49" fontId="6" fillId="0" borderId="44" xfId="0" applyNumberFormat="1" applyFont="1" applyBorder="1" applyAlignment="1">
      <alignment horizontal="center" vertical="center"/>
    </xf>
    <xf numFmtId="49" fontId="1" fillId="2" borderId="45" xfId="0" applyNumberFormat="1" applyFont="1" applyFill="1" applyBorder="1" applyAlignment="1">
      <alignment horizontal="center" vertical="center"/>
    </xf>
    <xf numFmtId="49" fontId="1" fillId="2" borderId="43" xfId="0" applyNumberFormat="1" applyFont="1" applyFill="1" applyBorder="1" applyAlignment="1">
      <alignment horizontal="center" vertical="center"/>
    </xf>
    <xf numFmtId="2" fontId="1" fillId="2" borderId="43" xfId="0" applyNumberFormat="1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 wrapText="1"/>
    </xf>
    <xf numFmtId="49" fontId="2" fillId="0" borderId="20" xfId="0" applyNumberFormat="1" applyFont="1" applyBorder="1" applyAlignment="1">
      <alignment horizontal="center" vertical="center" wrapText="1"/>
    </xf>
    <xf numFmtId="49" fontId="7" fillId="4" borderId="3" xfId="0" applyNumberFormat="1" applyFont="1" applyFill="1" applyBorder="1" applyAlignment="1">
      <alignment horizontal="center" vertical="center" wrapText="1"/>
    </xf>
    <xf numFmtId="0" fontId="2" fillId="7" borderId="46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 wrapText="1"/>
    </xf>
    <xf numFmtId="49" fontId="2" fillId="7" borderId="4" xfId="0" applyNumberFormat="1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/>
    </xf>
    <xf numFmtId="49" fontId="2" fillId="7" borderId="9" xfId="0" applyNumberFormat="1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/>
    </xf>
    <xf numFmtId="0" fontId="2" fillId="4" borderId="46" xfId="0" applyFont="1" applyFill="1" applyBorder="1" applyAlignment="1">
      <alignment horizontal="center" vertical="center"/>
    </xf>
    <xf numFmtId="0" fontId="10" fillId="4" borderId="47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/>
    </xf>
    <xf numFmtId="49" fontId="7" fillId="4" borderId="3" xfId="0" applyNumberFormat="1" applyFont="1" applyFill="1" applyBorder="1" applyAlignment="1">
      <alignment horizontal="left" vertical="center" wrapText="1"/>
    </xf>
    <xf numFmtId="49" fontId="7" fillId="4" borderId="1" xfId="0" applyNumberFormat="1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center" vertical="center"/>
    </xf>
    <xf numFmtId="0" fontId="2" fillId="4" borderId="46" xfId="0" applyFont="1" applyFill="1" applyBorder="1" applyAlignment="1">
      <alignment horizontal="center" vertical="center" wrapText="1"/>
    </xf>
    <xf numFmtId="49" fontId="2" fillId="4" borderId="46" xfId="0" applyNumberFormat="1" applyFont="1" applyFill="1" applyBorder="1" applyAlignment="1">
      <alignment horizontal="center" vertical="center" wrapText="1"/>
    </xf>
    <xf numFmtId="49" fontId="2" fillId="4" borderId="47" xfId="0" applyNumberFormat="1" applyFont="1" applyFill="1" applyBorder="1" applyAlignment="1">
      <alignment horizontal="center" vertical="center" wrapText="1"/>
    </xf>
    <xf numFmtId="0" fontId="6" fillId="3" borderId="38" xfId="0" applyFont="1" applyFill="1" applyBorder="1" applyAlignment="1">
      <alignment horizontal="center" vertical="center"/>
    </xf>
    <xf numFmtId="164" fontId="6" fillId="0" borderId="38" xfId="0" applyNumberFormat="1" applyFont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left" vertical="center" wrapText="1"/>
    </xf>
    <xf numFmtId="49" fontId="7" fillId="9" borderId="3" xfId="0" applyNumberFormat="1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1" fillId="6" borderId="39" xfId="0" applyFont="1" applyFill="1" applyBorder="1" applyAlignment="1">
      <alignment horizontal="left" vertical="top"/>
    </xf>
    <xf numFmtId="0" fontId="11" fillId="6" borderId="37" xfId="0" applyFont="1" applyFill="1" applyBorder="1" applyAlignment="1">
      <alignment horizontal="left" vertical="top"/>
    </xf>
    <xf numFmtId="0" fontId="11" fillId="6" borderId="41" xfId="0" applyFont="1" applyFill="1" applyBorder="1" applyAlignment="1">
      <alignment horizontal="left" vertical="top"/>
    </xf>
    <xf numFmtId="0" fontId="3" fillId="4" borderId="40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36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11" fillId="6" borderId="48" xfId="0" applyFont="1" applyFill="1" applyBorder="1" applyAlignment="1">
      <alignment horizontal="center" wrapText="1"/>
    </xf>
    <xf numFmtId="0" fontId="11" fillId="6" borderId="49" xfId="0" applyFont="1" applyFill="1" applyBorder="1" applyAlignment="1">
      <alignment horizontal="center" wrapText="1"/>
    </xf>
    <xf numFmtId="0" fontId="11" fillId="6" borderId="50" xfId="0" applyFont="1" applyFill="1" applyBorder="1" applyAlignment="1">
      <alignment horizontal="center" wrapText="1"/>
    </xf>
    <xf numFmtId="0" fontId="11" fillId="6" borderId="39" xfId="0" applyFont="1" applyFill="1" applyBorder="1" applyAlignment="1">
      <alignment horizontal="center" wrapText="1"/>
    </xf>
    <xf numFmtId="0" fontId="11" fillId="6" borderId="37" xfId="0" applyFont="1" applyFill="1" applyBorder="1" applyAlignment="1">
      <alignment horizontal="center" wrapText="1"/>
    </xf>
    <xf numFmtId="0" fontId="11" fillId="6" borderId="41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7" fillId="5" borderId="27" xfId="0" applyFont="1" applyFill="1" applyBorder="1" applyAlignment="1">
      <alignment horizontal="left" vertical="center"/>
    </xf>
    <xf numFmtId="0" fontId="7" fillId="5" borderId="28" xfId="0" applyFont="1" applyFill="1" applyBorder="1" applyAlignment="1">
      <alignment horizontal="left" vertical="center"/>
    </xf>
    <xf numFmtId="0" fontId="7" fillId="5" borderId="29" xfId="0" applyFont="1" applyFill="1" applyBorder="1" applyAlignment="1">
      <alignment horizontal="left" vertical="center"/>
    </xf>
    <xf numFmtId="49" fontId="2" fillId="0" borderId="18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49" fontId="2" fillId="0" borderId="20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4" borderId="25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38100</xdr:rowOff>
    </xdr:from>
    <xdr:to>
      <xdr:col>1</xdr:col>
      <xdr:colOff>476250</xdr:colOff>
      <xdr:row>1</xdr:row>
      <xdr:rowOff>362551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F322240-240C-43A9-B138-7545166A0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8100"/>
          <a:ext cx="1581150" cy="5721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9525</xdr:rowOff>
    </xdr:from>
    <xdr:to>
      <xdr:col>1</xdr:col>
      <xdr:colOff>466725</xdr:colOff>
      <xdr:row>1</xdr:row>
      <xdr:rowOff>333976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EFE5B94-F1D0-4E62-AB59-4BB0B0FC3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9525"/>
          <a:ext cx="1571625" cy="5721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19050</xdr:rowOff>
    </xdr:from>
    <xdr:to>
      <xdr:col>1</xdr:col>
      <xdr:colOff>466725</xdr:colOff>
      <xdr:row>1</xdr:row>
      <xdr:rowOff>343501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095CC5-D938-4C29-B8B8-0D1EFC9FC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19050"/>
          <a:ext cx="990600" cy="5721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showGridLines="0" tabSelected="1" zoomScaleNormal="100" workbookViewId="0">
      <selection activeCell="D19" sqref="D19"/>
    </sheetView>
  </sheetViews>
  <sheetFormatPr defaultColWidth="8.85546875" defaultRowHeight="12.75" x14ac:dyDescent="0.2"/>
  <cols>
    <col min="1" max="1" width="17.5703125" style="7" bestFit="1" customWidth="1"/>
    <col min="2" max="2" width="7.7109375" style="7" customWidth="1"/>
    <col min="3" max="3" width="13.5703125" style="7" bestFit="1" customWidth="1"/>
    <col min="4" max="4" width="23.5703125" style="7" bestFit="1" customWidth="1"/>
    <col min="5" max="5" width="7.42578125" style="7" customWidth="1"/>
    <col min="6" max="6" width="12.7109375" style="7" bestFit="1" customWidth="1"/>
    <col min="7" max="7" width="22.42578125" style="7" bestFit="1" customWidth="1"/>
    <col min="8" max="8" width="23.5703125" style="7" bestFit="1" customWidth="1"/>
    <col min="9" max="9" width="13.28515625" style="7" customWidth="1"/>
    <col min="10" max="10" width="12.5703125" style="7" customWidth="1"/>
    <col min="11" max="11" width="22.42578125" style="7" bestFit="1" customWidth="1"/>
    <col min="12" max="12" width="11.85546875" style="7" bestFit="1" customWidth="1"/>
    <col min="13" max="16384" width="8.85546875" style="7"/>
  </cols>
  <sheetData>
    <row r="1" spans="1:12" ht="19.899999999999999" customHeight="1" x14ac:dyDescent="0.2">
      <c r="A1" s="74"/>
      <c r="B1" s="75"/>
      <c r="C1" s="82" t="s">
        <v>0</v>
      </c>
      <c r="D1" s="83"/>
      <c r="E1" s="84"/>
      <c r="F1" s="88" t="s">
        <v>1</v>
      </c>
      <c r="G1" s="89"/>
      <c r="H1" s="26" t="s">
        <v>2</v>
      </c>
      <c r="I1" s="26" t="s">
        <v>3</v>
      </c>
      <c r="J1" s="26" t="s">
        <v>4</v>
      </c>
      <c r="K1" s="26" t="s">
        <v>5</v>
      </c>
      <c r="L1" s="24" t="s">
        <v>6</v>
      </c>
    </row>
    <row r="2" spans="1:12" s="8" customFormat="1" ht="30" customHeight="1" thickBot="1" x14ac:dyDescent="0.3">
      <c r="A2" s="76"/>
      <c r="B2" s="77"/>
      <c r="C2" s="85"/>
      <c r="D2" s="86"/>
      <c r="E2" s="87"/>
      <c r="F2" s="90" t="s">
        <v>7</v>
      </c>
      <c r="G2" s="91"/>
      <c r="H2" s="27" t="s">
        <v>8</v>
      </c>
      <c r="I2" s="27" t="s">
        <v>9</v>
      </c>
      <c r="J2" s="27" t="s">
        <v>10</v>
      </c>
      <c r="K2" s="27" t="s">
        <v>11</v>
      </c>
      <c r="L2" s="28" t="s">
        <v>12</v>
      </c>
    </row>
    <row r="3" spans="1:12" s="9" customFormat="1" ht="19.899999999999999" customHeight="1" x14ac:dyDescent="0.2">
      <c r="A3" s="68" t="s">
        <v>13</v>
      </c>
      <c r="B3" s="88" t="s">
        <v>14</v>
      </c>
      <c r="C3" s="89"/>
      <c r="D3" s="89"/>
      <c r="E3" s="39" t="s">
        <v>15</v>
      </c>
      <c r="F3" s="22" t="s">
        <v>16</v>
      </c>
      <c r="G3" s="23" t="s">
        <v>17</v>
      </c>
      <c r="H3" s="23" t="s">
        <v>18</v>
      </c>
      <c r="I3" s="23" t="s">
        <v>19</v>
      </c>
      <c r="J3" s="89" t="s">
        <v>20</v>
      </c>
      <c r="K3" s="89"/>
      <c r="L3" s="24" t="s">
        <v>13</v>
      </c>
    </row>
    <row r="4" spans="1:12" s="9" customFormat="1" ht="30" customHeight="1" thickBot="1" x14ac:dyDescent="0.25">
      <c r="A4" s="69">
        <v>43097</v>
      </c>
      <c r="B4" s="93" t="s">
        <v>21</v>
      </c>
      <c r="C4" s="94"/>
      <c r="D4" s="94"/>
      <c r="E4" s="42" t="s">
        <v>22</v>
      </c>
      <c r="F4" s="43" t="s">
        <v>23</v>
      </c>
      <c r="G4" s="44" t="s">
        <v>24</v>
      </c>
      <c r="H4" s="44" t="s">
        <v>25</v>
      </c>
      <c r="I4" s="44" t="s">
        <v>26</v>
      </c>
      <c r="J4" s="95" t="s">
        <v>27</v>
      </c>
      <c r="K4" s="95"/>
      <c r="L4" s="25">
        <v>45727</v>
      </c>
    </row>
    <row r="5" spans="1:12" ht="19.899999999999999" customHeight="1" thickBot="1" x14ac:dyDescent="0.25">
      <c r="A5" s="74"/>
      <c r="B5" s="78"/>
      <c r="C5" s="78"/>
      <c r="D5" s="78"/>
      <c r="E5" s="78"/>
      <c r="F5" s="78"/>
      <c r="G5" s="78"/>
      <c r="H5" s="78"/>
      <c r="I5" s="78"/>
      <c r="J5" s="78"/>
      <c r="K5" s="78"/>
      <c r="L5" s="75"/>
    </row>
    <row r="6" spans="1:12" ht="19.899999999999999" customHeight="1" thickBot="1" x14ac:dyDescent="0.25">
      <c r="A6" s="29" t="s">
        <v>28</v>
      </c>
      <c r="B6" s="31" t="s">
        <v>29</v>
      </c>
      <c r="C6" s="31" t="s">
        <v>30</v>
      </c>
      <c r="D6" s="33" t="s">
        <v>31</v>
      </c>
      <c r="E6" s="47" t="s">
        <v>32</v>
      </c>
      <c r="F6" s="33" t="s">
        <v>33</v>
      </c>
      <c r="G6" s="33" t="s">
        <v>34</v>
      </c>
      <c r="H6" s="33" t="s">
        <v>35</v>
      </c>
      <c r="I6" s="47" t="s">
        <v>36</v>
      </c>
      <c r="J6" s="33" t="s">
        <v>37</v>
      </c>
      <c r="K6" s="33" t="s">
        <v>38</v>
      </c>
      <c r="L6" s="48" t="s">
        <v>39</v>
      </c>
    </row>
    <row r="7" spans="1:12" ht="19.899999999999999" customHeight="1" x14ac:dyDescent="0.2">
      <c r="A7" s="63" t="s">
        <v>40</v>
      </c>
      <c r="B7" s="65">
        <v>2040</v>
      </c>
      <c r="C7" s="65" t="s">
        <v>41</v>
      </c>
      <c r="D7" s="66" t="s">
        <v>42</v>
      </c>
      <c r="E7" s="66" t="s">
        <v>43</v>
      </c>
      <c r="F7" s="66" t="s">
        <v>44</v>
      </c>
      <c r="G7" s="66" t="s">
        <v>45</v>
      </c>
      <c r="H7" s="56" t="s">
        <v>46</v>
      </c>
      <c r="I7" s="56" t="s">
        <v>47</v>
      </c>
      <c r="J7" s="56" t="s">
        <v>48</v>
      </c>
      <c r="K7" s="56" t="s">
        <v>49</v>
      </c>
      <c r="L7" s="67"/>
    </row>
    <row r="8" spans="1:12" ht="19.899999999999999" customHeight="1" x14ac:dyDescent="0.2">
      <c r="A8" s="70" t="s">
        <v>50</v>
      </c>
      <c r="B8" s="51">
        <v>245</v>
      </c>
      <c r="C8" s="51" t="s">
        <v>41</v>
      </c>
      <c r="D8" s="52" t="s">
        <v>51</v>
      </c>
      <c r="E8" s="53" t="s">
        <v>43</v>
      </c>
      <c r="F8" s="52" t="s">
        <v>44</v>
      </c>
      <c r="G8" s="52" t="s">
        <v>45</v>
      </c>
      <c r="H8" s="52" t="s">
        <v>52</v>
      </c>
      <c r="I8" s="52" t="s">
        <v>53</v>
      </c>
      <c r="J8" s="52" t="s">
        <v>44</v>
      </c>
      <c r="K8" s="52" t="s">
        <v>54</v>
      </c>
      <c r="L8" s="54"/>
    </row>
    <row r="9" spans="1:12" ht="19.899999999999999" customHeight="1" x14ac:dyDescent="0.25">
      <c r="A9" s="70" t="s">
        <v>55</v>
      </c>
      <c r="B9" s="51">
        <v>825</v>
      </c>
      <c r="C9" s="53" t="s">
        <v>41</v>
      </c>
      <c r="D9" s="53" t="s">
        <v>56</v>
      </c>
      <c r="E9" s="53" t="s">
        <v>57</v>
      </c>
      <c r="F9" s="53">
        <v>1</v>
      </c>
      <c r="G9" s="61" t="s">
        <v>58</v>
      </c>
      <c r="H9" s="52" t="s">
        <v>52</v>
      </c>
      <c r="I9" s="52" t="s">
        <v>53</v>
      </c>
      <c r="J9" s="52" t="s">
        <v>44</v>
      </c>
      <c r="K9" s="52" t="s">
        <v>54</v>
      </c>
      <c r="L9" s="54"/>
    </row>
    <row r="10" spans="1:12" ht="19.899999999999999" customHeight="1" x14ac:dyDescent="0.2">
      <c r="A10" s="70" t="s">
        <v>59</v>
      </c>
      <c r="B10" s="51">
        <v>820</v>
      </c>
      <c r="C10" s="53" t="s">
        <v>60</v>
      </c>
      <c r="D10" s="53" t="s">
        <v>61</v>
      </c>
      <c r="E10" s="53" t="s">
        <v>62</v>
      </c>
      <c r="F10" s="53" t="s">
        <v>44</v>
      </c>
      <c r="G10" s="53" t="s">
        <v>63</v>
      </c>
      <c r="H10" s="52" t="s">
        <v>52</v>
      </c>
      <c r="I10" s="52" t="s">
        <v>53</v>
      </c>
      <c r="J10" s="52" t="s">
        <v>44</v>
      </c>
      <c r="K10" s="52" t="s">
        <v>54</v>
      </c>
      <c r="L10" s="54"/>
    </row>
    <row r="11" spans="1:12" ht="19.899999999999999" customHeight="1" x14ac:dyDescent="0.2">
      <c r="A11" s="70" t="s">
        <v>64</v>
      </c>
      <c r="B11" s="51">
        <v>500</v>
      </c>
      <c r="C11" s="53" t="s">
        <v>60</v>
      </c>
      <c r="D11" s="53" t="s">
        <v>61</v>
      </c>
      <c r="E11" s="53" t="s">
        <v>62</v>
      </c>
      <c r="F11" s="53" t="s">
        <v>44</v>
      </c>
      <c r="G11" s="53" t="s">
        <v>65</v>
      </c>
      <c r="H11" s="52" t="s">
        <v>52</v>
      </c>
      <c r="I11" s="52" t="s">
        <v>53</v>
      </c>
      <c r="J11" s="52" t="s">
        <v>44</v>
      </c>
      <c r="K11" s="52" t="s">
        <v>54</v>
      </c>
      <c r="L11" s="55"/>
    </row>
    <row r="12" spans="1:12" ht="19.899999999999999" customHeight="1" x14ac:dyDescent="0.2">
      <c r="A12" s="70" t="s">
        <v>66</v>
      </c>
      <c r="B12" s="53">
        <v>690</v>
      </c>
      <c r="C12" s="51" t="s">
        <v>60</v>
      </c>
      <c r="D12" s="50" t="s">
        <v>52</v>
      </c>
      <c r="E12" s="50" t="s">
        <v>53</v>
      </c>
      <c r="F12" s="50" t="s">
        <v>44</v>
      </c>
      <c r="G12" s="52" t="s">
        <v>54</v>
      </c>
      <c r="H12" s="53" t="s">
        <v>67</v>
      </c>
      <c r="I12" s="53" t="s">
        <v>62</v>
      </c>
      <c r="J12" s="53" t="s">
        <v>44</v>
      </c>
      <c r="K12" s="53" t="s">
        <v>68</v>
      </c>
      <c r="L12" s="55"/>
    </row>
    <row r="13" spans="1:12" ht="19.5" customHeight="1" x14ac:dyDescent="0.2">
      <c r="A13" s="70" t="s">
        <v>69</v>
      </c>
      <c r="B13" s="53">
        <v>840</v>
      </c>
      <c r="C13" s="53" t="s">
        <v>60</v>
      </c>
      <c r="D13" s="52" t="s">
        <v>52</v>
      </c>
      <c r="E13" s="52" t="s">
        <v>53</v>
      </c>
      <c r="F13" s="52" t="s">
        <v>44</v>
      </c>
      <c r="G13" s="52" t="s">
        <v>54</v>
      </c>
      <c r="H13" s="53" t="s">
        <v>70</v>
      </c>
      <c r="I13" s="53" t="s">
        <v>57</v>
      </c>
      <c r="J13" s="53">
        <v>5</v>
      </c>
      <c r="K13" s="53" t="s">
        <v>71</v>
      </c>
      <c r="L13" s="55"/>
    </row>
    <row r="14" spans="1:12" ht="19.899999999999999" customHeight="1" x14ac:dyDescent="0.2">
      <c r="A14" s="70" t="s">
        <v>72</v>
      </c>
      <c r="B14" s="51">
        <v>1805</v>
      </c>
      <c r="C14" s="51" t="s">
        <v>41</v>
      </c>
      <c r="D14" s="52" t="s">
        <v>52</v>
      </c>
      <c r="E14" s="52" t="s">
        <v>53</v>
      </c>
      <c r="F14" s="52" t="s">
        <v>44</v>
      </c>
      <c r="G14" s="52" t="s">
        <v>54</v>
      </c>
      <c r="H14" s="52" t="s">
        <v>46</v>
      </c>
      <c r="I14" s="52" t="s">
        <v>47</v>
      </c>
      <c r="J14" s="52" t="s">
        <v>73</v>
      </c>
      <c r="K14" s="52" t="s">
        <v>49</v>
      </c>
      <c r="L14" s="55"/>
    </row>
    <row r="15" spans="1:12" ht="19.899999999999999" customHeight="1" x14ac:dyDescent="0.2">
      <c r="A15" s="62" t="s">
        <v>74</v>
      </c>
      <c r="B15" s="40">
        <v>590</v>
      </c>
      <c r="C15" s="40" t="s">
        <v>75</v>
      </c>
      <c r="D15" s="40" t="s">
        <v>76</v>
      </c>
      <c r="E15" s="40" t="s">
        <v>43</v>
      </c>
      <c r="F15" s="40" t="s">
        <v>44</v>
      </c>
      <c r="G15" s="40" t="s">
        <v>77</v>
      </c>
      <c r="H15" s="40" t="s">
        <v>78</v>
      </c>
      <c r="I15" s="40" t="s">
        <v>62</v>
      </c>
      <c r="J15" s="40" t="s">
        <v>44</v>
      </c>
      <c r="K15" s="40" t="s">
        <v>79</v>
      </c>
      <c r="L15" s="46"/>
    </row>
    <row r="16" spans="1:12" ht="19.899999999999999" customHeight="1" x14ac:dyDescent="0.2">
      <c r="A16" s="62" t="s">
        <v>80</v>
      </c>
      <c r="B16" s="40">
        <v>2075</v>
      </c>
      <c r="C16" s="40" t="s">
        <v>41</v>
      </c>
      <c r="D16" s="40" t="s">
        <v>46</v>
      </c>
      <c r="E16" s="40" t="s">
        <v>47</v>
      </c>
      <c r="F16" s="40">
        <v>3</v>
      </c>
      <c r="G16" s="40" t="s">
        <v>49</v>
      </c>
      <c r="H16" s="40" t="s">
        <v>81</v>
      </c>
      <c r="I16" s="40" t="s">
        <v>57</v>
      </c>
      <c r="J16" s="40" t="s">
        <v>82</v>
      </c>
      <c r="K16" s="40" t="s">
        <v>83</v>
      </c>
      <c r="L16" s="64" t="s">
        <v>84</v>
      </c>
    </row>
    <row r="17" spans="1:12" ht="19.899999999999999" customHeight="1" x14ac:dyDescent="0.2">
      <c r="A17" s="62" t="s">
        <v>85</v>
      </c>
      <c r="B17" s="40">
        <v>125</v>
      </c>
      <c r="C17" s="40" t="s">
        <v>41</v>
      </c>
      <c r="D17" s="40" t="s">
        <v>81</v>
      </c>
      <c r="E17" s="40" t="s">
        <v>57</v>
      </c>
      <c r="F17" s="40" t="s">
        <v>86</v>
      </c>
      <c r="G17" s="40" t="s">
        <v>83</v>
      </c>
      <c r="H17" s="40" t="s">
        <v>87</v>
      </c>
      <c r="I17" s="40" t="s">
        <v>43</v>
      </c>
      <c r="J17" s="40" t="s">
        <v>44</v>
      </c>
      <c r="K17" s="40" t="s">
        <v>88</v>
      </c>
      <c r="L17" s="46"/>
    </row>
    <row r="18" spans="1:12" ht="19.899999999999999" customHeight="1" x14ac:dyDescent="0.2">
      <c r="A18" s="62" t="s">
        <v>89</v>
      </c>
      <c r="B18" s="40">
        <v>2380</v>
      </c>
      <c r="C18" s="40" t="s">
        <v>60</v>
      </c>
      <c r="D18" s="40" t="s">
        <v>46</v>
      </c>
      <c r="E18" s="40" t="s">
        <v>47</v>
      </c>
      <c r="F18" s="40">
        <v>4</v>
      </c>
      <c r="G18" s="40" t="s">
        <v>49</v>
      </c>
      <c r="H18" s="40" t="s">
        <v>90</v>
      </c>
      <c r="I18" s="40" t="s">
        <v>62</v>
      </c>
      <c r="J18" s="40" t="s">
        <v>44</v>
      </c>
      <c r="K18" s="40" t="s">
        <v>91</v>
      </c>
      <c r="L18" s="46"/>
    </row>
    <row r="19" spans="1:12" ht="19.899999999999999" customHeight="1" x14ac:dyDescent="0.2">
      <c r="A19" s="71" t="s">
        <v>92</v>
      </c>
      <c r="B19" s="72">
        <v>1715</v>
      </c>
      <c r="C19" s="72" t="s">
        <v>41</v>
      </c>
      <c r="D19" s="72" t="s">
        <v>46</v>
      </c>
      <c r="E19" s="72" t="s">
        <v>47</v>
      </c>
      <c r="F19" s="72">
        <v>5</v>
      </c>
      <c r="G19" s="72" t="s">
        <v>49</v>
      </c>
      <c r="H19" s="72" t="s">
        <v>52</v>
      </c>
      <c r="I19" s="72" t="s">
        <v>53</v>
      </c>
      <c r="J19" s="72" t="s">
        <v>44</v>
      </c>
      <c r="K19" s="72" t="s">
        <v>93</v>
      </c>
      <c r="L19" s="73"/>
    </row>
    <row r="20" spans="1:12" ht="19.899999999999999" customHeight="1" x14ac:dyDescent="0.2">
      <c r="A20" s="71" t="s">
        <v>94</v>
      </c>
      <c r="B20" s="72">
        <v>215</v>
      </c>
      <c r="C20" s="72" t="s">
        <v>60</v>
      </c>
      <c r="D20" s="72" t="s">
        <v>52</v>
      </c>
      <c r="E20" s="72" t="s">
        <v>53</v>
      </c>
      <c r="F20" s="72" t="s">
        <v>44</v>
      </c>
      <c r="G20" s="72" t="s">
        <v>93</v>
      </c>
      <c r="H20" s="72" t="s">
        <v>70</v>
      </c>
      <c r="I20" s="72" t="s">
        <v>57</v>
      </c>
      <c r="J20" s="72">
        <v>1</v>
      </c>
      <c r="K20" s="72" t="s">
        <v>71</v>
      </c>
      <c r="L20" s="73"/>
    </row>
    <row r="21" spans="1:12" ht="19.899999999999999" customHeight="1" x14ac:dyDescent="0.2">
      <c r="A21" s="71" t="s">
        <v>95</v>
      </c>
      <c r="B21" s="72">
        <v>220</v>
      </c>
      <c r="C21" s="72" t="s">
        <v>41</v>
      </c>
      <c r="D21" s="72" t="s">
        <v>52</v>
      </c>
      <c r="E21" s="72" t="s">
        <v>53</v>
      </c>
      <c r="F21" s="72" t="s">
        <v>44</v>
      </c>
      <c r="G21" s="72" t="s">
        <v>93</v>
      </c>
      <c r="H21" s="72" t="s">
        <v>61</v>
      </c>
      <c r="I21" s="72" t="s">
        <v>62</v>
      </c>
      <c r="J21" s="72" t="s">
        <v>44</v>
      </c>
      <c r="K21" s="72" t="s">
        <v>96</v>
      </c>
      <c r="L21" s="73"/>
    </row>
    <row r="22" spans="1:12" ht="19.899999999999999" customHeight="1" x14ac:dyDescent="0.2">
      <c r="A22" s="62" t="s">
        <v>97</v>
      </c>
      <c r="B22" s="40">
        <v>2325</v>
      </c>
      <c r="C22" s="40" t="s">
        <v>60</v>
      </c>
      <c r="D22" s="40" t="s">
        <v>46</v>
      </c>
      <c r="E22" s="40" t="s">
        <v>47</v>
      </c>
      <c r="F22" s="40">
        <v>6</v>
      </c>
      <c r="G22" s="40" t="s">
        <v>49</v>
      </c>
      <c r="H22" s="4" t="s">
        <v>98</v>
      </c>
      <c r="I22" s="40" t="s">
        <v>62</v>
      </c>
      <c r="J22" s="40" t="s">
        <v>44</v>
      </c>
      <c r="K22" s="40" t="s">
        <v>99</v>
      </c>
      <c r="L22" s="46"/>
    </row>
    <row r="23" spans="1:12" ht="19.899999999999999" customHeight="1" x14ac:dyDescent="0.2">
      <c r="A23" s="62" t="s">
        <v>100</v>
      </c>
      <c r="B23" s="40">
        <v>2410</v>
      </c>
      <c r="C23" s="40" t="s">
        <v>60</v>
      </c>
      <c r="D23" s="40" t="s">
        <v>46</v>
      </c>
      <c r="E23" s="40" t="s">
        <v>47</v>
      </c>
      <c r="F23" s="40">
        <v>7</v>
      </c>
      <c r="G23" s="40" t="s">
        <v>49</v>
      </c>
      <c r="H23" s="40" t="s">
        <v>90</v>
      </c>
      <c r="I23" s="40" t="s">
        <v>62</v>
      </c>
      <c r="J23" s="40" t="s">
        <v>44</v>
      </c>
      <c r="K23" s="40" t="s">
        <v>101</v>
      </c>
      <c r="L23" s="34"/>
    </row>
    <row r="24" spans="1:12" ht="19.899999999999999" customHeight="1" x14ac:dyDescent="0.2">
      <c r="A24" s="62" t="s">
        <v>102</v>
      </c>
      <c r="B24" s="40">
        <v>2355</v>
      </c>
      <c r="C24" s="40" t="s">
        <v>60</v>
      </c>
      <c r="D24" s="40" t="s">
        <v>46</v>
      </c>
      <c r="E24" s="40" t="s">
        <v>47</v>
      </c>
      <c r="F24" s="40">
        <v>8</v>
      </c>
      <c r="G24" s="40" t="s">
        <v>49</v>
      </c>
      <c r="H24" s="40" t="s">
        <v>67</v>
      </c>
      <c r="I24" s="40" t="s">
        <v>62</v>
      </c>
      <c r="J24" s="40" t="s">
        <v>44</v>
      </c>
      <c r="K24" s="40" t="s">
        <v>103</v>
      </c>
      <c r="L24" s="34"/>
    </row>
    <row r="25" spans="1:12" ht="19.899999999999999" customHeight="1" x14ac:dyDescent="0.2">
      <c r="A25" s="62" t="s">
        <v>104</v>
      </c>
      <c r="B25" s="40">
        <v>2355</v>
      </c>
      <c r="C25" s="40" t="s">
        <v>60</v>
      </c>
      <c r="D25" s="40" t="s">
        <v>46</v>
      </c>
      <c r="E25" s="40" t="s">
        <v>47</v>
      </c>
      <c r="F25" s="40">
        <v>9</v>
      </c>
      <c r="G25" s="40" t="s">
        <v>49</v>
      </c>
      <c r="H25" s="40" t="s">
        <v>90</v>
      </c>
      <c r="I25" s="40" t="s">
        <v>62</v>
      </c>
      <c r="J25" s="40" t="s">
        <v>44</v>
      </c>
      <c r="K25" s="40" t="s">
        <v>105</v>
      </c>
      <c r="L25" s="34"/>
    </row>
    <row r="26" spans="1:12" ht="19.899999999999999" customHeight="1" x14ac:dyDescent="0.2">
      <c r="A26" s="62" t="s">
        <v>106</v>
      </c>
      <c r="B26" s="40">
        <v>2580</v>
      </c>
      <c r="C26" s="40" t="s">
        <v>60</v>
      </c>
      <c r="D26" s="40" t="s">
        <v>46</v>
      </c>
      <c r="E26" s="40" t="s">
        <v>47</v>
      </c>
      <c r="F26" s="40">
        <v>10</v>
      </c>
      <c r="G26" s="40" t="s">
        <v>49</v>
      </c>
      <c r="H26" s="40" t="s">
        <v>61</v>
      </c>
      <c r="I26" s="40" t="s">
        <v>62</v>
      </c>
      <c r="J26" s="40" t="s">
        <v>44</v>
      </c>
      <c r="K26" s="40" t="s">
        <v>107</v>
      </c>
      <c r="L26" s="34"/>
    </row>
    <row r="27" spans="1:12" ht="19.899999999999999" customHeight="1" x14ac:dyDescent="0.2">
      <c r="A27" s="62" t="s">
        <v>108</v>
      </c>
      <c r="B27" s="40">
        <v>2260</v>
      </c>
      <c r="C27" s="40" t="s">
        <v>60</v>
      </c>
      <c r="D27" s="40" t="s">
        <v>46</v>
      </c>
      <c r="E27" s="40" t="s">
        <v>47</v>
      </c>
      <c r="F27" s="40">
        <v>11</v>
      </c>
      <c r="G27" s="40" t="s">
        <v>49</v>
      </c>
      <c r="H27" s="40" t="s">
        <v>61</v>
      </c>
      <c r="I27" s="40" t="s">
        <v>62</v>
      </c>
      <c r="J27" s="40" t="s">
        <v>44</v>
      </c>
      <c r="K27" s="40" t="s">
        <v>109</v>
      </c>
      <c r="L27" s="34"/>
    </row>
    <row r="28" spans="1:12" ht="19.899999999999999" customHeight="1" x14ac:dyDescent="0.2">
      <c r="A28" s="62" t="s">
        <v>110</v>
      </c>
      <c r="B28" s="40">
        <v>1895</v>
      </c>
      <c r="C28" s="40" t="s">
        <v>60</v>
      </c>
      <c r="D28" s="40" t="s">
        <v>46</v>
      </c>
      <c r="E28" s="40" t="s">
        <v>47</v>
      </c>
      <c r="F28" s="40">
        <v>12</v>
      </c>
      <c r="G28" s="40" t="s">
        <v>49</v>
      </c>
      <c r="H28" s="40" t="s">
        <v>70</v>
      </c>
      <c r="I28" s="40" t="s">
        <v>57</v>
      </c>
      <c r="J28" s="40">
        <v>9</v>
      </c>
      <c r="K28" s="40" t="s">
        <v>71</v>
      </c>
      <c r="L28" s="34"/>
    </row>
    <row r="29" spans="1:12" ht="19.899999999999999" customHeight="1" thickBot="1" x14ac:dyDescent="0.25">
      <c r="A29" s="79" t="s">
        <v>111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1"/>
    </row>
    <row r="30" spans="1:12" s="10" customFormat="1" ht="16.899999999999999" customHeight="1" x14ac:dyDescent="0.2">
      <c r="A30" s="96" t="s">
        <v>112</v>
      </c>
      <c r="B30" s="11" t="s">
        <v>113</v>
      </c>
      <c r="C30" s="102" t="s">
        <v>114</v>
      </c>
      <c r="D30" s="102"/>
      <c r="E30" s="99" t="s">
        <v>115</v>
      </c>
      <c r="F30" s="99"/>
      <c r="G30" s="14" t="s">
        <v>116</v>
      </c>
      <c r="H30" s="14" t="s">
        <v>117</v>
      </c>
      <c r="I30" s="14" t="s">
        <v>118</v>
      </c>
      <c r="J30" s="99" t="s">
        <v>119</v>
      </c>
      <c r="K30" s="11" t="s">
        <v>120</v>
      </c>
      <c r="L30" s="15" t="s">
        <v>121</v>
      </c>
    </row>
    <row r="31" spans="1:12" s="10" customFormat="1" ht="16.899999999999999" customHeight="1" x14ac:dyDescent="0.2">
      <c r="A31" s="97"/>
      <c r="B31" s="12" t="s">
        <v>122</v>
      </c>
      <c r="C31" s="103" t="s">
        <v>123</v>
      </c>
      <c r="D31" s="103"/>
      <c r="E31" s="100"/>
      <c r="F31" s="100"/>
      <c r="G31" s="16" t="s">
        <v>124</v>
      </c>
      <c r="H31" s="16" t="s">
        <v>125</v>
      </c>
      <c r="I31" s="16" t="s">
        <v>126</v>
      </c>
      <c r="J31" s="100"/>
      <c r="K31" s="12" t="s">
        <v>127</v>
      </c>
      <c r="L31" s="17" t="s">
        <v>128</v>
      </c>
    </row>
    <row r="32" spans="1:12" s="10" customFormat="1" ht="16.899999999999999" customHeight="1" thickBot="1" x14ac:dyDescent="0.25">
      <c r="A32" s="98"/>
      <c r="B32" s="13" t="s">
        <v>129</v>
      </c>
      <c r="C32" s="92" t="s">
        <v>130</v>
      </c>
      <c r="D32" s="92"/>
      <c r="E32" s="101"/>
      <c r="F32" s="101"/>
      <c r="G32" s="18" t="s">
        <v>131</v>
      </c>
      <c r="H32" s="18" t="s">
        <v>132</v>
      </c>
      <c r="I32" s="18" t="s">
        <v>133</v>
      </c>
      <c r="J32" s="101"/>
      <c r="K32" s="13" t="s">
        <v>134</v>
      </c>
      <c r="L32" s="19" t="s">
        <v>135</v>
      </c>
    </row>
  </sheetData>
  <mergeCells count="16">
    <mergeCell ref="C32:D32"/>
    <mergeCell ref="B4:D4"/>
    <mergeCell ref="J3:K3"/>
    <mergeCell ref="J4:K4"/>
    <mergeCell ref="A30:A32"/>
    <mergeCell ref="J30:J32"/>
    <mergeCell ref="E30:F32"/>
    <mergeCell ref="C30:D30"/>
    <mergeCell ref="C31:D31"/>
    <mergeCell ref="A1:B2"/>
    <mergeCell ref="A5:L5"/>
    <mergeCell ref="A29:L29"/>
    <mergeCell ref="C1:E2"/>
    <mergeCell ref="F1:G1"/>
    <mergeCell ref="F2:G2"/>
    <mergeCell ref="B3:D3"/>
  </mergeCells>
  <phoneticPr fontId="8" type="noConversion"/>
  <pageMargins left="0.31496062992125984" right="0.19685039370078741" top="0.19685039370078741" bottom="0.19685039370078741" header="0" footer="0"/>
  <pageSetup paperSize="9" scale="75" orientation="landscape" r:id="rId1"/>
  <headerFooter>
    <oddFooter>&amp;R&amp;"Calibri,Regular"&amp;9IT 002/05 - REV.01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13A02-8AF4-4BED-9E6D-D9B394E0AC96}">
  <dimension ref="A1:L35"/>
  <sheetViews>
    <sheetView showGridLines="0" zoomScaleNormal="100" workbookViewId="0">
      <selection activeCell="D19" sqref="D19"/>
    </sheetView>
  </sheetViews>
  <sheetFormatPr defaultColWidth="8.85546875" defaultRowHeight="12.75" x14ac:dyDescent="0.2"/>
  <cols>
    <col min="1" max="1" width="17.42578125" style="7" bestFit="1" customWidth="1"/>
    <col min="2" max="2" width="7.7109375" style="7" customWidth="1"/>
    <col min="3" max="3" width="13.5703125" style="7" bestFit="1" customWidth="1"/>
    <col min="4" max="4" width="26.140625" style="7" bestFit="1" customWidth="1"/>
    <col min="5" max="5" width="8.42578125" style="7" customWidth="1"/>
    <col min="6" max="6" width="11.7109375" style="7" customWidth="1"/>
    <col min="7" max="7" width="19" style="7" bestFit="1" customWidth="1"/>
    <col min="8" max="8" width="25.5703125" style="7" bestFit="1" customWidth="1"/>
    <col min="9" max="9" width="13.85546875" style="7" customWidth="1"/>
    <col min="10" max="10" width="13.42578125" style="7" customWidth="1"/>
    <col min="11" max="11" width="19" style="7" bestFit="1" customWidth="1"/>
    <col min="12" max="12" width="11.85546875" style="7" bestFit="1" customWidth="1"/>
    <col min="13" max="16384" width="8.85546875" style="7"/>
  </cols>
  <sheetData>
    <row r="1" spans="1:12" ht="19.899999999999999" customHeight="1" x14ac:dyDescent="0.2">
      <c r="A1" s="74"/>
      <c r="B1" s="75"/>
      <c r="C1" s="82" t="s">
        <v>0</v>
      </c>
      <c r="D1" s="83"/>
      <c r="E1" s="84"/>
      <c r="F1" s="88" t="s">
        <v>1</v>
      </c>
      <c r="G1" s="89"/>
      <c r="H1" s="26" t="s">
        <v>2</v>
      </c>
      <c r="I1" s="26" t="s">
        <v>3</v>
      </c>
      <c r="J1" s="26" t="s">
        <v>4</v>
      </c>
      <c r="K1" s="26" t="s">
        <v>5</v>
      </c>
      <c r="L1" s="24" t="s">
        <v>6</v>
      </c>
    </row>
    <row r="2" spans="1:12" s="8" customFormat="1" ht="30" customHeight="1" thickBot="1" x14ac:dyDescent="0.3">
      <c r="A2" s="76"/>
      <c r="B2" s="77"/>
      <c r="C2" s="85"/>
      <c r="D2" s="86"/>
      <c r="E2" s="87"/>
      <c r="F2" s="90" t="s">
        <v>7</v>
      </c>
      <c r="G2" s="91"/>
      <c r="H2" s="27" t="s">
        <v>8</v>
      </c>
      <c r="I2" s="27" t="str">
        <f>'IT CABOS'!I2</f>
        <v>N.Cesar</v>
      </c>
      <c r="J2" s="27" t="s">
        <v>10</v>
      </c>
      <c r="K2" s="27" t="s">
        <v>136</v>
      </c>
      <c r="L2" s="28" t="s">
        <v>137</v>
      </c>
    </row>
    <row r="3" spans="1:12" s="9" customFormat="1" ht="19.899999999999999" customHeight="1" x14ac:dyDescent="0.2">
      <c r="A3" s="68" t="s">
        <v>13</v>
      </c>
      <c r="B3" s="88" t="s">
        <v>14</v>
      </c>
      <c r="C3" s="89"/>
      <c r="D3" s="89"/>
      <c r="E3" s="39" t="s">
        <v>15</v>
      </c>
      <c r="F3" s="22" t="s">
        <v>16</v>
      </c>
      <c r="G3" s="23" t="s">
        <v>17</v>
      </c>
      <c r="H3" s="23" t="s">
        <v>18</v>
      </c>
      <c r="I3" s="23" t="s">
        <v>19</v>
      </c>
      <c r="J3" s="89" t="s">
        <v>20</v>
      </c>
      <c r="K3" s="89"/>
      <c r="L3" s="24" t="s">
        <v>13</v>
      </c>
    </row>
    <row r="4" spans="1:12" s="9" customFormat="1" ht="30" customHeight="1" thickBot="1" x14ac:dyDescent="0.25">
      <c r="A4" s="69">
        <v>43097</v>
      </c>
      <c r="B4" s="93" t="s">
        <v>21</v>
      </c>
      <c r="C4" s="94"/>
      <c r="D4" s="94"/>
      <c r="E4" s="42" t="s">
        <v>22</v>
      </c>
      <c r="F4" s="43" t="s">
        <v>23</v>
      </c>
      <c r="G4" s="44" t="s">
        <v>24</v>
      </c>
      <c r="H4" s="44" t="s">
        <v>25</v>
      </c>
      <c r="I4" s="45" t="str">
        <f>'IT CABOS'!I4</f>
        <v>03</v>
      </c>
      <c r="J4" s="95" t="str">
        <f>'IT CABOS'!J4:K4</f>
        <v>Defeito potencial 186</v>
      </c>
      <c r="K4" s="95"/>
      <c r="L4" s="25">
        <f>'IT CABOS'!L4</f>
        <v>45727</v>
      </c>
    </row>
    <row r="5" spans="1:12" ht="19.899999999999999" customHeight="1" thickBot="1" x14ac:dyDescent="0.25">
      <c r="A5" s="74"/>
      <c r="B5" s="78"/>
      <c r="C5" s="78"/>
      <c r="D5" s="78"/>
      <c r="E5" s="78"/>
      <c r="F5" s="78"/>
      <c r="G5" s="78"/>
      <c r="H5" s="78"/>
      <c r="I5" s="78"/>
      <c r="J5" s="78"/>
      <c r="K5" s="78"/>
      <c r="L5" s="75"/>
    </row>
    <row r="6" spans="1:12" ht="19.899999999999999" customHeight="1" thickBot="1" x14ac:dyDescent="0.25">
      <c r="A6" s="29" t="s">
        <v>28</v>
      </c>
      <c r="B6" s="31" t="s">
        <v>29</v>
      </c>
      <c r="C6" s="31" t="s">
        <v>30</v>
      </c>
      <c r="D6" s="33" t="s">
        <v>31</v>
      </c>
      <c r="E6" s="47" t="s">
        <v>32</v>
      </c>
      <c r="F6" s="33" t="s">
        <v>33</v>
      </c>
      <c r="G6" s="33" t="s">
        <v>34</v>
      </c>
      <c r="H6" s="33" t="s">
        <v>35</v>
      </c>
      <c r="I6" s="47" t="s">
        <v>36</v>
      </c>
      <c r="J6" s="33" t="s">
        <v>37</v>
      </c>
      <c r="K6" s="33" t="s">
        <v>38</v>
      </c>
      <c r="L6" s="48" t="s">
        <v>39</v>
      </c>
    </row>
    <row r="7" spans="1:12" ht="19.899999999999999" customHeight="1" x14ac:dyDescent="0.2">
      <c r="A7" s="63" t="s">
        <v>138</v>
      </c>
      <c r="B7" s="56">
        <v>1950</v>
      </c>
      <c r="C7" s="56" t="s">
        <v>60</v>
      </c>
      <c r="D7" s="56" t="s">
        <v>139</v>
      </c>
      <c r="E7" s="56" t="s">
        <v>47</v>
      </c>
      <c r="F7" s="56">
        <v>13</v>
      </c>
      <c r="G7" s="56" t="s">
        <v>49</v>
      </c>
      <c r="H7" s="56" t="s">
        <v>140</v>
      </c>
      <c r="I7" s="56" t="s">
        <v>47</v>
      </c>
      <c r="J7" s="56">
        <v>10</v>
      </c>
      <c r="K7" s="56" t="s">
        <v>71</v>
      </c>
      <c r="L7" s="57" t="s">
        <v>141</v>
      </c>
    </row>
    <row r="8" spans="1:12" ht="19.899999999999999" customHeight="1" x14ac:dyDescent="0.2">
      <c r="A8" s="62" t="s">
        <v>142</v>
      </c>
      <c r="B8" s="58">
        <v>360</v>
      </c>
      <c r="C8" s="58" t="s">
        <v>60</v>
      </c>
      <c r="D8" s="58" t="s">
        <v>140</v>
      </c>
      <c r="E8" s="58" t="s">
        <v>47</v>
      </c>
      <c r="F8" s="58">
        <v>3</v>
      </c>
      <c r="G8" s="58" t="s">
        <v>71</v>
      </c>
      <c r="H8" s="58" t="s">
        <v>52</v>
      </c>
      <c r="I8" s="58" t="s">
        <v>53</v>
      </c>
      <c r="J8" s="58" t="s">
        <v>44</v>
      </c>
      <c r="K8" s="58" t="s">
        <v>143</v>
      </c>
      <c r="L8" s="59" t="s">
        <v>141</v>
      </c>
    </row>
    <row r="9" spans="1:12" ht="19.899999999999999" customHeight="1" x14ac:dyDescent="0.2">
      <c r="A9" s="62" t="s">
        <v>144</v>
      </c>
      <c r="B9" s="58">
        <v>1595</v>
      </c>
      <c r="C9" s="58" t="s">
        <v>60</v>
      </c>
      <c r="D9" s="58" t="s">
        <v>52</v>
      </c>
      <c r="E9" s="58" t="s">
        <v>53</v>
      </c>
      <c r="F9" s="58" t="s">
        <v>44</v>
      </c>
      <c r="G9" s="58" t="s">
        <v>143</v>
      </c>
      <c r="H9" s="58" t="s">
        <v>139</v>
      </c>
      <c r="I9" s="58" t="s">
        <v>47</v>
      </c>
      <c r="J9" s="58">
        <v>14</v>
      </c>
      <c r="K9" s="58" t="s">
        <v>49</v>
      </c>
      <c r="L9" s="59" t="s">
        <v>141</v>
      </c>
    </row>
    <row r="10" spans="1:12" ht="19.899999999999999" customHeight="1" x14ac:dyDescent="0.2">
      <c r="A10" s="62" t="s">
        <v>145</v>
      </c>
      <c r="B10" s="58">
        <v>340</v>
      </c>
      <c r="C10" s="58" t="s">
        <v>60</v>
      </c>
      <c r="D10" s="58" t="s">
        <v>52</v>
      </c>
      <c r="E10" s="58" t="s">
        <v>53</v>
      </c>
      <c r="F10" s="58" t="s">
        <v>44</v>
      </c>
      <c r="G10" s="58" t="s">
        <v>143</v>
      </c>
      <c r="H10" s="58" t="s">
        <v>146</v>
      </c>
      <c r="I10" s="58" t="s">
        <v>62</v>
      </c>
      <c r="J10" s="58" t="s">
        <v>44</v>
      </c>
      <c r="K10" s="58" t="s">
        <v>147</v>
      </c>
      <c r="L10" s="59" t="s">
        <v>141</v>
      </c>
    </row>
    <row r="11" spans="1:12" ht="19.899999999999999" customHeight="1" x14ac:dyDescent="0.2">
      <c r="A11" s="62" t="s">
        <v>148</v>
      </c>
      <c r="B11" s="4">
        <v>675</v>
      </c>
      <c r="C11" s="40" t="s">
        <v>60</v>
      </c>
      <c r="D11" s="4" t="s">
        <v>140</v>
      </c>
      <c r="E11" s="4" t="s">
        <v>47</v>
      </c>
      <c r="F11" s="4">
        <v>11</v>
      </c>
      <c r="G11" s="4" t="s">
        <v>71</v>
      </c>
      <c r="H11" s="4" t="s">
        <v>146</v>
      </c>
      <c r="I11" s="4" t="s">
        <v>62</v>
      </c>
      <c r="J11" s="4" t="s">
        <v>44</v>
      </c>
      <c r="K11" s="4" t="s">
        <v>149</v>
      </c>
      <c r="L11" s="60" t="s">
        <v>141</v>
      </c>
    </row>
    <row r="12" spans="1:12" ht="19.899999999999999" customHeight="1" x14ac:dyDescent="0.2">
      <c r="A12" s="62" t="s">
        <v>150</v>
      </c>
      <c r="B12" s="40">
        <v>2590</v>
      </c>
      <c r="C12" s="40" t="s">
        <v>41</v>
      </c>
      <c r="D12" s="40" t="s">
        <v>46</v>
      </c>
      <c r="E12" s="40" t="s">
        <v>47</v>
      </c>
      <c r="F12" s="40">
        <v>19</v>
      </c>
      <c r="G12" s="40" t="s">
        <v>49</v>
      </c>
      <c r="H12" s="40" t="s">
        <v>56</v>
      </c>
      <c r="I12" s="40" t="s">
        <v>57</v>
      </c>
      <c r="J12" s="40">
        <v>2</v>
      </c>
      <c r="K12" s="40" t="s">
        <v>58</v>
      </c>
      <c r="L12" s="46"/>
    </row>
    <row r="13" spans="1:12" ht="19.5" customHeight="1" x14ac:dyDescent="0.2">
      <c r="A13" s="62" t="s">
        <v>151</v>
      </c>
      <c r="B13" s="40">
        <v>2590</v>
      </c>
      <c r="C13" s="40" t="s">
        <v>41</v>
      </c>
      <c r="D13" s="40" t="s">
        <v>46</v>
      </c>
      <c r="E13" s="40" t="s">
        <v>47</v>
      </c>
      <c r="F13" s="40">
        <v>20</v>
      </c>
      <c r="G13" s="40" t="s">
        <v>49</v>
      </c>
      <c r="H13" s="40" t="s">
        <v>56</v>
      </c>
      <c r="I13" s="40" t="s">
        <v>57</v>
      </c>
      <c r="J13" s="40">
        <v>3</v>
      </c>
      <c r="K13" s="40" t="s">
        <v>58</v>
      </c>
      <c r="L13" s="46"/>
    </row>
    <row r="14" spans="1:12" ht="19.5" customHeight="1" x14ac:dyDescent="0.2">
      <c r="A14" s="49"/>
      <c r="B14" s="40"/>
      <c r="C14" s="40"/>
      <c r="D14" s="40"/>
      <c r="E14" s="40"/>
      <c r="F14" s="40"/>
      <c r="G14" s="40"/>
      <c r="H14" s="41"/>
      <c r="I14" s="41"/>
      <c r="J14" s="41"/>
      <c r="K14" s="41"/>
      <c r="L14" s="46"/>
    </row>
    <row r="15" spans="1:12" ht="19.899999999999999" customHeight="1" x14ac:dyDescent="0.2">
      <c r="A15" s="49"/>
      <c r="B15" s="40"/>
      <c r="C15" s="40"/>
      <c r="D15" s="40"/>
      <c r="E15" s="40"/>
      <c r="F15" s="40"/>
      <c r="G15" s="40"/>
      <c r="H15" s="41"/>
      <c r="I15" s="41"/>
      <c r="J15" s="41"/>
      <c r="K15" s="41"/>
      <c r="L15" s="46"/>
    </row>
    <row r="16" spans="1:12" ht="19.899999999999999" customHeight="1" x14ac:dyDescent="0.2">
      <c r="A16" s="49"/>
      <c r="B16" s="40"/>
      <c r="C16" s="40"/>
      <c r="D16" s="40"/>
      <c r="E16" s="40"/>
      <c r="F16" s="40"/>
      <c r="G16" s="41"/>
      <c r="H16" s="40"/>
      <c r="I16" s="40"/>
      <c r="J16" s="40"/>
      <c r="K16" s="40"/>
      <c r="L16" s="46"/>
    </row>
    <row r="17" spans="1:12" ht="19.899999999999999" customHeight="1" x14ac:dyDescent="0.2">
      <c r="A17" s="49"/>
      <c r="B17" s="40"/>
      <c r="C17" s="40"/>
      <c r="D17" s="40"/>
      <c r="E17" s="40"/>
      <c r="F17" s="40"/>
      <c r="G17" s="41"/>
      <c r="H17" s="40"/>
      <c r="I17" s="40"/>
      <c r="J17" s="40"/>
      <c r="K17" s="40"/>
      <c r="L17" s="46"/>
    </row>
    <row r="18" spans="1:12" ht="19.899999999999999" customHeight="1" x14ac:dyDescent="0.2">
      <c r="A18" s="49"/>
      <c r="B18" s="40"/>
      <c r="C18" s="40"/>
      <c r="D18" s="40"/>
      <c r="E18" s="40"/>
      <c r="F18" s="40"/>
      <c r="G18" s="41"/>
      <c r="H18" s="40"/>
      <c r="I18" s="40"/>
      <c r="J18" s="40"/>
      <c r="K18" s="40"/>
      <c r="L18" s="46"/>
    </row>
    <row r="19" spans="1:12" ht="19.899999999999999" customHeight="1" x14ac:dyDescent="0.2">
      <c r="A19" s="49"/>
      <c r="B19" s="40"/>
      <c r="C19" s="40"/>
      <c r="D19" s="40"/>
      <c r="E19" s="40"/>
      <c r="F19" s="40"/>
      <c r="G19" s="40"/>
      <c r="H19" s="40"/>
      <c r="I19" s="40"/>
      <c r="J19" s="40"/>
      <c r="K19" s="41"/>
      <c r="L19" s="46"/>
    </row>
    <row r="20" spans="1:12" ht="19.899999999999999" customHeight="1" x14ac:dyDescent="0.2">
      <c r="A20" s="49"/>
      <c r="B20" s="40"/>
      <c r="C20" s="40"/>
      <c r="D20" s="40"/>
      <c r="E20" s="40"/>
      <c r="F20" s="40"/>
      <c r="G20" s="41"/>
      <c r="H20" s="40"/>
      <c r="I20" s="40"/>
      <c r="J20" s="40"/>
      <c r="K20" s="41"/>
      <c r="L20" s="46"/>
    </row>
    <row r="21" spans="1:12" ht="19.899999999999999" customHeight="1" x14ac:dyDescent="0.2">
      <c r="A21" s="49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6"/>
    </row>
    <row r="22" spans="1:12" ht="19.899999999999999" customHeight="1" x14ac:dyDescent="0.2">
      <c r="A22" s="49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6"/>
    </row>
    <row r="23" spans="1:12" ht="19.899999999999999" customHeight="1" x14ac:dyDescent="0.2">
      <c r="A23" s="49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6"/>
    </row>
    <row r="24" spans="1:12" ht="19.899999999999999" customHeight="1" x14ac:dyDescent="0.2">
      <c r="A24" s="49"/>
      <c r="B24" s="40"/>
      <c r="C24" s="40"/>
      <c r="D24" s="40"/>
      <c r="E24" s="40"/>
      <c r="F24" s="40"/>
      <c r="G24" s="40"/>
      <c r="H24" s="41"/>
      <c r="I24" s="41"/>
      <c r="J24" s="41"/>
      <c r="K24" s="41"/>
      <c r="L24" s="46"/>
    </row>
    <row r="25" spans="1:12" ht="19.899999999999999" customHeight="1" x14ac:dyDescent="0.2">
      <c r="A25" s="49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6"/>
    </row>
    <row r="26" spans="1:12" ht="19.899999999999999" customHeight="1" x14ac:dyDescent="0.2">
      <c r="A26" s="49"/>
      <c r="B26" s="40"/>
      <c r="C26" s="40"/>
      <c r="D26" s="40"/>
      <c r="E26" s="40"/>
      <c r="F26" s="40"/>
      <c r="G26" s="40"/>
      <c r="H26" s="41"/>
      <c r="I26" s="41"/>
      <c r="J26" s="41"/>
      <c r="K26" s="41"/>
      <c r="L26" s="46"/>
    </row>
    <row r="27" spans="1:12" ht="19.899999999999999" customHeight="1" x14ac:dyDescent="0.2">
      <c r="A27" s="49"/>
      <c r="B27" s="40"/>
      <c r="C27" s="40"/>
      <c r="D27" s="40"/>
      <c r="E27" s="40"/>
      <c r="F27" s="40"/>
      <c r="G27" s="40"/>
      <c r="H27" s="41"/>
      <c r="I27" s="41"/>
      <c r="J27" s="41"/>
      <c r="K27" s="41"/>
      <c r="L27" s="46"/>
    </row>
    <row r="28" spans="1:12" ht="19.899999999999999" customHeight="1" x14ac:dyDescent="0.2">
      <c r="A28" s="49"/>
      <c r="B28" s="40"/>
      <c r="C28" s="40"/>
      <c r="D28" s="40"/>
      <c r="E28" s="40"/>
      <c r="F28" s="40"/>
      <c r="G28" s="40"/>
      <c r="H28" s="41"/>
      <c r="I28" s="41"/>
      <c r="J28" s="41"/>
      <c r="K28" s="41"/>
      <c r="L28" s="46"/>
    </row>
    <row r="29" spans="1:12" ht="19.899999999999999" customHeight="1" x14ac:dyDescent="0.2">
      <c r="A29" s="49"/>
      <c r="B29" s="40"/>
      <c r="C29" s="40"/>
      <c r="D29" s="40"/>
      <c r="E29" s="40"/>
      <c r="F29" s="40"/>
      <c r="G29" s="40"/>
      <c r="H29" s="41"/>
      <c r="I29" s="41"/>
      <c r="J29" s="41"/>
      <c r="K29" s="41"/>
      <c r="L29" s="46"/>
    </row>
    <row r="30" spans="1:12" ht="19.899999999999999" customHeight="1" x14ac:dyDescent="0.2">
      <c r="A30" s="49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6"/>
    </row>
    <row r="31" spans="1:12" ht="19.899999999999999" customHeight="1" x14ac:dyDescent="0.2">
      <c r="A31" s="104" t="s">
        <v>152</v>
      </c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6"/>
    </row>
    <row r="32" spans="1:12" ht="19.899999999999999" customHeight="1" thickBot="1" x14ac:dyDescent="0.25">
      <c r="A32" s="107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9"/>
    </row>
    <row r="33" spans="1:12" s="10" customFormat="1" ht="16.899999999999999" customHeight="1" x14ac:dyDescent="0.2">
      <c r="A33" s="96" t="s">
        <v>112</v>
      </c>
      <c r="B33" s="11" t="s">
        <v>113</v>
      </c>
      <c r="C33" s="102" t="s">
        <v>114</v>
      </c>
      <c r="D33" s="102"/>
      <c r="E33" s="99" t="s">
        <v>115</v>
      </c>
      <c r="F33" s="99"/>
      <c r="G33" s="14" t="s">
        <v>116</v>
      </c>
      <c r="H33" s="14" t="s">
        <v>117</v>
      </c>
      <c r="I33" s="14" t="s">
        <v>118</v>
      </c>
      <c r="J33" s="99" t="s">
        <v>119</v>
      </c>
      <c r="K33" s="11" t="s">
        <v>120</v>
      </c>
      <c r="L33" s="15" t="s">
        <v>121</v>
      </c>
    </row>
    <row r="34" spans="1:12" s="10" customFormat="1" ht="16.899999999999999" customHeight="1" x14ac:dyDescent="0.2">
      <c r="A34" s="97"/>
      <c r="B34" s="12" t="s">
        <v>122</v>
      </c>
      <c r="C34" s="103" t="s">
        <v>123</v>
      </c>
      <c r="D34" s="103"/>
      <c r="E34" s="100"/>
      <c r="F34" s="100"/>
      <c r="G34" s="16" t="s">
        <v>124</v>
      </c>
      <c r="H34" s="16" t="s">
        <v>125</v>
      </c>
      <c r="I34" s="16" t="s">
        <v>126</v>
      </c>
      <c r="J34" s="100"/>
      <c r="K34" s="12" t="s">
        <v>127</v>
      </c>
      <c r="L34" s="17" t="s">
        <v>128</v>
      </c>
    </row>
    <row r="35" spans="1:12" s="10" customFormat="1" ht="16.899999999999999" customHeight="1" thickBot="1" x14ac:dyDescent="0.25">
      <c r="A35" s="98"/>
      <c r="B35" s="13" t="s">
        <v>129</v>
      </c>
      <c r="C35" s="92" t="s">
        <v>130</v>
      </c>
      <c r="D35" s="92"/>
      <c r="E35" s="101"/>
      <c r="F35" s="101"/>
      <c r="G35" s="18" t="s">
        <v>131</v>
      </c>
      <c r="H35" s="18" t="s">
        <v>132</v>
      </c>
      <c r="I35" s="18" t="s">
        <v>133</v>
      </c>
      <c r="J35" s="101"/>
      <c r="K35" s="13" t="s">
        <v>134</v>
      </c>
      <c r="L35" s="19" t="s">
        <v>135</v>
      </c>
    </row>
  </sheetData>
  <mergeCells count="16">
    <mergeCell ref="A33:A35"/>
    <mergeCell ref="C33:D33"/>
    <mergeCell ref="E33:F35"/>
    <mergeCell ref="J33:J35"/>
    <mergeCell ref="C34:D34"/>
    <mergeCell ref="C35:D35"/>
    <mergeCell ref="J3:K3"/>
    <mergeCell ref="B4:D4"/>
    <mergeCell ref="J4:K4"/>
    <mergeCell ref="A5:L5"/>
    <mergeCell ref="A31:L32"/>
    <mergeCell ref="A1:B2"/>
    <mergeCell ref="C1:E2"/>
    <mergeCell ref="F1:G1"/>
    <mergeCell ref="F2:G2"/>
    <mergeCell ref="B3:D3"/>
  </mergeCells>
  <phoneticPr fontId="8" type="noConversion"/>
  <pageMargins left="0.31496062992125984" right="0.19685039370078741" top="0.19685039370078741" bottom="0.19685039370078741" header="0" footer="0"/>
  <pageSetup paperSize="9" scale="75" orientation="landscape" r:id="rId1"/>
  <headerFooter>
    <oddFooter>&amp;R&amp;"Calibri,Regular"&amp;9IT 002/05 - REV.01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showGridLines="0" zoomScaleNormal="100" workbookViewId="0">
      <selection activeCell="D19" sqref="D19"/>
    </sheetView>
  </sheetViews>
  <sheetFormatPr defaultColWidth="8.85546875" defaultRowHeight="12.75" x14ac:dyDescent="0.2"/>
  <cols>
    <col min="1" max="1" width="8.7109375" style="7" customWidth="1"/>
    <col min="2" max="2" width="7.7109375" style="7" customWidth="1"/>
    <col min="3" max="3" width="15.42578125" style="7" customWidth="1"/>
    <col min="4" max="4" width="10" style="7" customWidth="1"/>
    <col min="5" max="5" width="7.7109375" style="7" customWidth="1"/>
    <col min="6" max="6" width="12.7109375" style="7" bestFit="1" customWidth="1"/>
    <col min="7" max="7" width="15.7109375" style="7" customWidth="1"/>
    <col min="8" max="8" width="19.7109375" style="7" customWidth="1"/>
    <col min="9" max="11" width="15.7109375" style="7" customWidth="1"/>
    <col min="12" max="12" width="12.140625" style="7" bestFit="1" customWidth="1"/>
    <col min="13" max="16384" width="8.85546875" style="7"/>
  </cols>
  <sheetData>
    <row r="1" spans="1:12" ht="19.899999999999999" customHeight="1" x14ac:dyDescent="0.2">
      <c r="A1" s="131"/>
      <c r="B1" s="132"/>
      <c r="C1" s="83" t="s">
        <v>153</v>
      </c>
      <c r="D1" s="83"/>
      <c r="E1" s="84"/>
      <c r="F1" s="88" t="s">
        <v>1</v>
      </c>
      <c r="G1" s="89"/>
      <c r="H1" s="26" t="s">
        <v>2</v>
      </c>
      <c r="I1" s="26" t="s">
        <v>3</v>
      </c>
      <c r="J1" s="26" t="s">
        <v>4</v>
      </c>
      <c r="K1" s="26" t="s">
        <v>5</v>
      </c>
      <c r="L1" s="24" t="s">
        <v>6</v>
      </c>
    </row>
    <row r="2" spans="1:12" s="8" customFormat="1" ht="30" customHeight="1" thickBot="1" x14ac:dyDescent="0.3">
      <c r="A2" s="133"/>
      <c r="B2" s="134"/>
      <c r="C2" s="86"/>
      <c r="D2" s="86"/>
      <c r="E2" s="87"/>
      <c r="F2" s="90" t="s">
        <v>154</v>
      </c>
      <c r="G2" s="91"/>
      <c r="H2" s="27" t="str">
        <f>'IT CABOS'!H2</f>
        <v>MWM030 000 000</v>
      </c>
      <c r="I2" s="27" t="str">
        <f>'IT CABOS'!I2</f>
        <v>N.Cesar</v>
      </c>
      <c r="J2" s="27" t="str">
        <f>'IT CABOS'!J2</f>
        <v>H.Braga</v>
      </c>
      <c r="K2" s="27" t="str">
        <f>'IT CABOS'!K2</f>
        <v>V.Lemos</v>
      </c>
      <c r="L2" s="28" t="s">
        <v>155</v>
      </c>
    </row>
    <row r="3" spans="1:12" s="9" customFormat="1" ht="19.899999999999999" customHeight="1" x14ac:dyDescent="0.2">
      <c r="A3" s="36" t="s">
        <v>13</v>
      </c>
      <c r="B3" s="89" t="s">
        <v>14</v>
      </c>
      <c r="C3" s="89"/>
      <c r="D3" s="89"/>
      <c r="E3" s="39" t="s">
        <v>15</v>
      </c>
      <c r="F3" s="22" t="s">
        <v>16</v>
      </c>
      <c r="G3" s="23" t="s">
        <v>17</v>
      </c>
      <c r="H3" s="23" t="s">
        <v>18</v>
      </c>
      <c r="I3" s="23" t="s">
        <v>19</v>
      </c>
      <c r="J3" s="89" t="s">
        <v>20</v>
      </c>
      <c r="K3" s="89"/>
      <c r="L3" s="24" t="s">
        <v>13</v>
      </c>
    </row>
    <row r="4" spans="1:12" s="9" customFormat="1" ht="30" customHeight="1" thickBot="1" x14ac:dyDescent="0.25">
      <c r="A4" s="37">
        <f>'IT CABOS'!A4</f>
        <v>43097</v>
      </c>
      <c r="B4" s="127" t="str">
        <f>'IT CABOS'!B4:D4</f>
        <v>Emissão Inicial</v>
      </c>
      <c r="C4" s="127"/>
      <c r="D4" s="127"/>
      <c r="E4" s="38" t="str">
        <f>'IT CABOS'!E4</f>
        <v>01</v>
      </c>
      <c r="F4" s="20" t="s">
        <v>156</v>
      </c>
      <c r="G4" s="21" t="s">
        <v>24</v>
      </c>
      <c r="H4" s="21" t="s">
        <v>157</v>
      </c>
      <c r="I4" s="35" t="str">
        <f>'IT CABOS'!I4</f>
        <v>03</v>
      </c>
      <c r="J4" s="95" t="str">
        <f>'IT CABOS (2)'!J4:K4</f>
        <v>Defeito potencial 186</v>
      </c>
      <c r="K4" s="95"/>
      <c r="L4" s="25">
        <f>'IT CABOS'!L4</f>
        <v>45727</v>
      </c>
    </row>
    <row r="5" spans="1:12" ht="19.899999999999999" customHeight="1" thickBot="1" x14ac:dyDescent="0.25">
      <c r="A5" s="128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30"/>
    </row>
    <row r="6" spans="1:12" ht="19.899999999999999" customHeight="1" thickBot="1" x14ac:dyDescent="0.25">
      <c r="A6" s="29" t="s">
        <v>158</v>
      </c>
      <c r="B6" s="30" t="s">
        <v>29</v>
      </c>
      <c r="C6" s="31" t="s">
        <v>30</v>
      </c>
      <c r="D6" s="32" t="s">
        <v>159</v>
      </c>
      <c r="E6" s="124" t="s">
        <v>160</v>
      </c>
      <c r="F6" s="125"/>
      <c r="G6" s="125"/>
      <c r="H6" s="125"/>
      <c r="I6" s="125"/>
      <c r="J6" s="124" t="s">
        <v>161</v>
      </c>
      <c r="K6" s="125"/>
      <c r="L6" s="126"/>
    </row>
    <row r="7" spans="1:12" ht="19.899999999999999" customHeight="1" x14ac:dyDescent="0.2">
      <c r="A7" s="1" t="s">
        <v>162</v>
      </c>
      <c r="B7" s="2">
        <v>1345</v>
      </c>
      <c r="C7" s="5" t="s">
        <v>163</v>
      </c>
      <c r="D7" s="2" t="s">
        <v>164</v>
      </c>
      <c r="E7" s="117" t="s">
        <v>165</v>
      </c>
      <c r="F7" s="118"/>
      <c r="G7" s="118"/>
      <c r="H7" s="118"/>
      <c r="I7" s="120"/>
      <c r="J7" s="117" t="s">
        <v>166</v>
      </c>
      <c r="K7" s="118"/>
      <c r="L7" s="119"/>
    </row>
    <row r="8" spans="1:12" ht="19.899999999999999" customHeight="1" x14ac:dyDescent="0.2">
      <c r="A8" s="3" t="s">
        <v>167</v>
      </c>
      <c r="B8" s="4">
        <v>465</v>
      </c>
      <c r="C8" s="6" t="s">
        <v>163</v>
      </c>
      <c r="D8" s="4" t="s">
        <v>164</v>
      </c>
      <c r="E8" s="110" t="s">
        <v>165</v>
      </c>
      <c r="F8" s="111"/>
      <c r="G8" s="111"/>
      <c r="H8" s="111"/>
      <c r="I8" s="112"/>
      <c r="J8" s="110" t="s">
        <v>168</v>
      </c>
      <c r="K8" s="111"/>
      <c r="L8" s="116"/>
    </row>
    <row r="9" spans="1:12" ht="19.899999999999999" customHeight="1" x14ac:dyDescent="0.2">
      <c r="A9" s="3" t="s">
        <v>169</v>
      </c>
      <c r="B9" s="4">
        <v>300</v>
      </c>
      <c r="C9" s="6" t="s">
        <v>163</v>
      </c>
      <c r="D9" s="4" t="s">
        <v>164</v>
      </c>
      <c r="E9" s="110" t="s">
        <v>165</v>
      </c>
      <c r="F9" s="111"/>
      <c r="G9" s="111"/>
      <c r="H9" s="111"/>
      <c r="I9" s="112"/>
      <c r="J9" s="110" t="s">
        <v>170</v>
      </c>
      <c r="K9" s="111"/>
      <c r="L9" s="116"/>
    </row>
    <row r="10" spans="1:12" ht="19.899999999999999" customHeight="1" x14ac:dyDescent="0.2">
      <c r="A10" s="3" t="s">
        <v>171</v>
      </c>
      <c r="B10" s="4">
        <v>350</v>
      </c>
      <c r="C10" s="6" t="s">
        <v>172</v>
      </c>
      <c r="D10" s="4" t="s">
        <v>164</v>
      </c>
      <c r="E10" s="110" t="s">
        <v>173</v>
      </c>
      <c r="F10" s="111"/>
      <c r="G10" s="111"/>
      <c r="H10" s="111"/>
      <c r="I10" s="112"/>
      <c r="J10" s="110" t="s">
        <v>174</v>
      </c>
      <c r="K10" s="111"/>
      <c r="L10" s="116"/>
    </row>
    <row r="11" spans="1:12" ht="19.899999999999999" customHeight="1" x14ac:dyDescent="0.2">
      <c r="A11" s="3" t="s">
        <v>175</v>
      </c>
      <c r="B11" s="4">
        <v>600</v>
      </c>
      <c r="C11" s="6" t="s">
        <v>172</v>
      </c>
      <c r="D11" s="4" t="s">
        <v>164</v>
      </c>
      <c r="E11" s="110" t="s">
        <v>173</v>
      </c>
      <c r="F11" s="111"/>
      <c r="G11" s="111"/>
      <c r="H11" s="111"/>
      <c r="I11" s="112"/>
      <c r="J11" s="110" t="s">
        <v>176</v>
      </c>
      <c r="K11" s="111"/>
      <c r="L11" s="116"/>
    </row>
    <row r="12" spans="1:12" ht="19.899999999999999" customHeight="1" x14ac:dyDescent="0.2">
      <c r="A12" s="3" t="s">
        <v>177</v>
      </c>
      <c r="B12" s="4">
        <v>500</v>
      </c>
      <c r="C12" s="6" t="s">
        <v>178</v>
      </c>
      <c r="D12" s="4" t="s">
        <v>164</v>
      </c>
      <c r="E12" s="110" t="s">
        <v>179</v>
      </c>
      <c r="F12" s="111"/>
      <c r="G12" s="111"/>
      <c r="H12" s="111"/>
      <c r="I12" s="112"/>
      <c r="J12" s="110" t="s">
        <v>180</v>
      </c>
      <c r="K12" s="111"/>
      <c r="L12" s="116"/>
    </row>
    <row r="13" spans="1:12" ht="19.899999999999999" customHeight="1" x14ac:dyDescent="0.2">
      <c r="A13" s="3" t="s">
        <v>181</v>
      </c>
      <c r="B13" s="4">
        <v>150</v>
      </c>
      <c r="C13" s="6" t="s">
        <v>178</v>
      </c>
      <c r="D13" s="4" t="s">
        <v>182</v>
      </c>
      <c r="E13" s="110" t="s">
        <v>179</v>
      </c>
      <c r="F13" s="111"/>
      <c r="G13" s="111"/>
      <c r="H13" s="111"/>
      <c r="I13" s="112"/>
      <c r="J13" s="110" t="s">
        <v>183</v>
      </c>
      <c r="K13" s="111"/>
      <c r="L13" s="116"/>
    </row>
    <row r="14" spans="1:12" ht="19.899999999999999" customHeight="1" x14ac:dyDescent="0.2">
      <c r="A14" s="3" t="s">
        <v>184</v>
      </c>
      <c r="B14" s="4">
        <v>150</v>
      </c>
      <c r="C14" s="6" t="s">
        <v>185</v>
      </c>
      <c r="D14" s="4" t="s">
        <v>186</v>
      </c>
      <c r="E14" s="110" t="s">
        <v>187</v>
      </c>
      <c r="F14" s="111"/>
      <c r="G14" s="111"/>
      <c r="H14" s="111"/>
      <c r="I14" s="112"/>
      <c r="J14" s="110" t="s">
        <v>188</v>
      </c>
      <c r="K14" s="111"/>
      <c r="L14" s="116"/>
    </row>
    <row r="15" spans="1:12" ht="19.899999999999999" customHeight="1" x14ac:dyDescent="0.2">
      <c r="A15" s="3" t="s">
        <v>189</v>
      </c>
      <c r="B15" s="4">
        <v>40</v>
      </c>
      <c r="C15" s="6" t="s">
        <v>190</v>
      </c>
      <c r="D15" s="4" t="s">
        <v>182</v>
      </c>
      <c r="E15" s="110" t="s">
        <v>191</v>
      </c>
      <c r="F15" s="111"/>
      <c r="G15" s="111"/>
      <c r="H15" s="111"/>
      <c r="I15" s="112"/>
      <c r="J15" s="110" t="s">
        <v>192</v>
      </c>
      <c r="K15" s="111"/>
      <c r="L15" s="116"/>
    </row>
    <row r="16" spans="1:12" ht="19.899999999999999" customHeight="1" x14ac:dyDescent="0.2">
      <c r="A16" s="3" t="s">
        <v>193</v>
      </c>
      <c r="B16" s="4">
        <v>40</v>
      </c>
      <c r="C16" s="6" t="s">
        <v>194</v>
      </c>
      <c r="D16" s="4" t="s">
        <v>195</v>
      </c>
      <c r="E16" s="110" t="s">
        <v>196</v>
      </c>
      <c r="F16" s="111"/>
      <c r="G16" s="111"/>
      <c r="H16" s="111"/>
      <c r="I16" s="112"/>
      <c r="J16" s="110" t="s">
        <v>197</v>
      </c>
      <c r="K16" s="111"/>
      <c r="L16" s="116"/>
    </row>
    <row r="17" spans="1:12" ht="19.899999999999999" customHeight="1" x14ac:dyDescent="0.2">
      <c r="A17" s="3" t="s">
        <v>198</v>
      </c>
      <c r="B17" s="4">
        <v>40</v>
      </c>
      <c r="C17" s="6" t="s">
        <v>199</v>
      </c>
      <c r="D17" s="4" t="s">
        <v>164</v>
      </c>
      <c r="E17" s="110" t="s">
        <v>200</v>
      </c>
      <c r="F17" s="111"/>
      <c r="G17" s="111"/>
      <c r="H17" s="111"/>
      <c r="I17" s="112"/>
      <c r="J17" s="110" t="s">
        <v>201</v>
      </c>
      <c r="K17" s="111"/>
      <c r="L17" s="116"/>
    </row>
    <row r="18" spans="1:12" ht="19.899999999999999" customHeight="1" x14ac:dyDescent="0.2">
      <c r="A18" s="3" t="s">
        <v>202</v>
      </c>
      <c r="B18" s="4">
        <v>40</v>
      </c>
      <c r="C18" s="6" t="s">
        <v>203</v>
      </c>
      <c r="D18" s="4" t="s">
        <v>195</v>
      </c>
      <c r="E18" s="110" t="s">
        <v>204</v>
      </c>
      <c r="F18" s="111"/>
      <c r="G18" s="111"/>
      <c r="H18" s="111"/>
      <c r="I18" s="112"/>
      <c r="J18" s="110" t="s">
        <v>205</v>
      </c>
      <c r="K18" s="111"/>
      <c r="L18" s="116"/>
    </row>
    <row r="19" spans="1:12" ht="19.899999999999999" customHeight="1" x14ac:dyDescent="0.2">
      <c r="A19" s="3" t="s">
        <v>206</v>
      </c>
      <c r="B19" s="4">
        <v>40</v>
      </c>
      <c r="C19" s="6" t="s">
        <v>207</v>
      </c>
      <c r="D19" s="4" t="s">
        <v>208</v>
      </c>
      <c r="E19" s="110" t="s">
        <v>209</v>
      </c>
      <c r="F19" s="111"/>
      <c r="G19" s="111"/>
      <c r="H19" s="111"/>
      <c r="I19" s="112"/>
      <c r="J19" s="110" t="s">
        <v>210</v>
      </c>
      <c r="K19" s="111"/>
      <c r="L19" s="116"/>
    </row>
    <row r="20" spans="1:12" ht="19.899999999999999" customHeight="1" x14ac:dyDescent="0.2">
      <c r="A20" s="3" t="s">
        <v>211</v>
      </c>
      <c r="B20" s="4">
        <v>25</v>
      </c>
      <c r="C20" s="6" t="s">
        <v>212</v>
      </c>
      <c r="D20" s="4" t="s">
        <v>213</v>
      </c>
      <c r="E20" s="110" t="s">
        <v>214</v>
      </c>
      <c r="F20" s="111"/>
      <c r="G20" s="111"/>
      <c r="H20" s="111"/>
      <c r="I20" s="112"/>
      <c r="J20" s="110" t="s">
        <v>215</v>
      </c>
      <c r="K20" s="111"/>
      <c r="L20" s="116"/>
    </row>
    <row r="21" spans="1:12" ht="19.899999999999999" customHeight="1" x14ac:dyDescent="0.2">
      <c r="A21" s="3"/>
      <c r="B21" s="4"/>
      <c r="C21" s="6"/>
      <c r="D21" s="4"/>
      <c r="E21" s="110"/>
      <c r="F21" s="111"/>
      <c r="G21" s="111"/>
      <c r="H21" s="111"/>
      <c r="I21" s="112"/>
      <c r="J21" s="110"/>
      <c r="K21" s="111"/>
      <c r="L21" s="116"/>
    </row>
    <row r="22" spans="1:12" ht="19.899999999999999" customHeight="1" x14ac:dyDescent="0.2">
      <c r="A22" s="3"/>
      <c r="B22" s="4"/>
      <c r="C22" s="6"/>
      <c r="D22" s="4"/>
      <c r="E22" s="110"/>
      <c r="F22" s="111"/>
      <c r="G22" s="111"/>
      <c r="H22" s="111"/>
      <c r="I22" s="112"/>
      <c r="J22" s="110"/>
      <c r="K22" s="111"/>
      <c r="L22" s="116"/>
    </row>
    <row r="23" spans="1:12" ht="19.899999999999999" customHeight="1" thickBot="1" x14ac:dyDescent="0.25">
      <c r="A23" s="121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3"/>
    </row>
    <row r="24" spans="1:12" s="10" customFormat="1" ht="16.899999999999999" customHeight="1" x14ac:dyDescent="0.2">
      <c r="A24" s="113" t="s">
        <v>112</v>
      </c>
      <c r="B24" s="11" t="s">
        <v>113</v>
      </c>
      <c r="C24" s="102" t="s">
        <v>114</v>
      </c>
      <c r="D24" s="102"/>
      <c r="E24" s="99" t="s">
        <v>115</v>
      </c>
      <c r="F24" s="99"/>
      <c r="G24" s="14" t="s">
        <v>116</v>
      </c>
      <c r="H24" s="14" t="s">
        <v>117</v>
      </c>
      <c r="I24" s="14" t="s">
        <v>118</v>
      </c>
      <c r="J24" s="99" t="s">
        <v>119</v>
      </c>
      <c r="K24" s="11" t="s">
        <v>120</v>
      </c>
      <c r="L24" s="15" t="s">
        <v>121</v>
      </c>
    </row>
    <row r="25" spans="1:12" s="10" customFormat="1" ht="16.899999999999999" customHeight="1" x14ac:dyDescent="0.2">
      <c r="A25" s="114"/>
      <c r="B25" s="12" t="s">
        <v>122</v>
      </c>
      <c r="C25" s="103" t="s">
        <v>123</v>
      </c>
      <c r="D25" s="103"/>
      <c r="E25" s="100"/>
      <c r="F25" s="100"/>
      <c r="G25" s="16" t="s">
        <v>124</v>
      </c>
      <c r="H25" s="16" t="s">
        <v>125</v>
      </c>
      <c r="I25" s="16" t="s">
        <v>126</v>
      </c>
      <c r="J25" s="100"/>
      <c r="K25" s="12" t="s">
        <v>127</v>
      </c>
      <c r="L25" s="17" t="s">
        <v>128</v>
      </c>
    </row>
    <row r="26" spans="1:12" s="10" customFormat="1" ht="16.899999999999999" customHeight="1" thickBot="1" x14ac:dyDescent="0.25">
      <c r="A26" s="115"/>
      <c r="B26" s="13" t="s">
        <v>129</v>
      </c>
      <c r="C26" s="92" t="s">
        <v>130</v>
      </c>
      <c r="D26" s="92"/>
      <c r="E26" s="101"/>
      <c r="F26" s="101"/>
      <c r="G26" s="18" t="s">
        <v>131</v>
      </c>
      <c r="H26" s="18" t="s">
        <v>132</v>
      </c>
      <c r="I26" s="18" t="s">
        <v>133</v>
      </c>
      <c r="J26" s="101"/>
      <c r="K26" s="13" t="s">
        <v>134</v>
      </c>
      <c r="L26" s="19" t="s">
        <v>135</v>
      </c>
    </row>
  </sheetData>
  <mergeCells count="50">
    <mergeCell ref="F1:G1"/>
    <mergeCell ref="F2:G2"/>
    <mergeCell ref="B3:D3"/>
    <mergeCell ref="J6:L6"/>
    <mergeCell ref="E6:I6"/>
    <mergeCell ref="B4:D4"/>
    <mergeCell ref="J4:K4"/>
    <mergeCell ref="A5:L5"/>
    <mergeCell ref="A1:B2"/>
    <mergeCell ref="C1:E2"/>
    <mergeCell ref="J3:K3"/>
    <mergeCell ref="J24:J26"/>
    <mergeCell ref="C25:D25"/>
    <mergeCell ref="E18:I18"/>
    <mergeCell ref="E19:I19"/>
    <mergeCell ref="A23:L23"/>
    <mergeCell ref="E22:I22"/>
    <mergeCell ref="E20:I20"/>
    <mergeCell ref="J21:L21"/>
    <mergeCell ref="E7:I7"/>
    <mergeCell ref="E9:I9"/>
    <mergeCell ref="E10:I10"/>
    <mergeCell ref="J10:L10"/>
    <mergeCell ref="E8:I8"/>
    <mergeCell ref="J8:L8"/>
    <mergeCell ref="J12:L12"/>
    <mergeCell ref="J19:L19"/>
    <mergeCell ref="J20:L20"/>
    <mergeCell ref="J22:L22"/>
    <mergeCell ref="J7:L7"/>
    <mergeCell ref="J9:L9"/>
    <mergeCell ref="J11:L11"/>
    <mergeCell ref="J13:L13"/>
    <mergeCell ref="J15:L15"/>
    <mergeCell ref="J16:L16"/>
    <mergeCell ref="J18:L18"/>
    <mergeCell ref="J14:L14"/>
    <mergeCell ref="J17:L17"/>
    <mergeCell ref="E11:I11"/>
    <mergeCell ref="A24:A26"/>
    <mergeCell ref="C24:D24"/>
    <mergeCell ref="E24:F26"/>
    <mergeCell ref="E12:I12"/>
    <mergeCell ref="E13:I13"/>
    <mergeCell ref="E15:I15"/>
    <mergeCell ref="E21:I21"/>
    <mergeCell ref="E16:I16"/>
    <mergeCell ref="C26:D26"/>
    <mergeCell ref="E14:I14"/>
    <mergeCell ref="E17:I17"/>
  </mergeCells>
  <phoneticPr fontId="9" type="noConversion"/>
  <pageMargins left="0.19685039370078741" right="0.19685039370078741" top="0.19685039370078741" bottom="0.19685039370078741" header="0" footer="0"/>
  <pageSetup paperSize="9" scale="93" orientation="landscape" r:id="rId1"/>
  <headerFooter>
    <oddFooter>&amp;R&amp;"Calibri,Regular"&amp;9IT 003/05 - REV.01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3C3B6EA92ADD94EB46952ADA2CE7DF9" ma:contentTypeVersion="20" ma:contentTypeDescription="Crie um novo documento." ma:contentTypeScope="" ma:versionID="f1f14eda8a8e436d1f4a3969a4934ca2">
  <xsd:schema xmlns:xsd="http://www.w3.org/2001/XMLSchema" xmlns:xs="http://www.w3.org/2001/XMLSchema" xmlns:p="http://schemas.microsoft.com/office/2006/metadata/properties" xmlns:ns2="caddd657-5d7b-4b1e-bf11-cbc5fdd8bda7" xmlns:ns3="478bfbae-344b-4aaf-9941-8b7873c74f7e" targetNamespace="http://schemas.microsoft.com/office/2006/metadata/properties" ma:root="true" ma:fieldsID="76378b085b679b3cc1a534a8989ac618" ns2:_="" ns3:_="">
    <xsd:import namespace="caddd657-5d7b-4b1e-bf11-cbc5fdd8bda7"/>
    <xsd:import namespace="478bfbae-344b-4aaf-9941-8b7873c74f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ddd657-5d7b-4b1e-bf11-cbc5fdd8b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7" nillable="true" ma:displayName="Status de liberação" ma:hidden="true" ma:internalName="Status_x0020_de_x0020_libera_x00e7__x00e3_o" ma:readOnly="false">
      <xsd:simpleType>
        <xsd:restriction base="dms:Text"/>
      </xsd:simpleType>
    </xsd:element>
    <xsd:element name="MediaLengthInSeconds" ma:index="18" nillable="true" ma:displayName="Length (seconds)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hidden="true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hidden="true" ma:internalName="MediaServiceKeyPoint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afade85-921c-437e-950d-7eab7699c0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bfbae-344b-4aaf-9941-8b7873c74f7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4" nillable="true" ma:displayName="Taxonomy Catch All Column" ma:hidden="true" ma:list="{29728d8c-ad76-4801-bca7-4ba7758c4a98}" ma:internalName="TaxCatchAll" ma:readOnly="false" ma:showField="CatchAllData" ma:web="478bfbae-344b-4aaf-9941-8b7873c74f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addd657-5d7b-4b1e-bf11-cbc5fdd8bda7" xsi:nil="true"/>
    <TaxCatchAll xmlns="478bfbae-344b-4aaf-9941-8b7873c74f7e" xsi:nil="true"/>
    <lcf76f155ced4ddcb4097134ff3c332f xmlns="caddd657-5d7b-4b1e-bf11-cbc5fdd8bd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B2F56A-147D-448A-8352-40548A11BA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ddd657-5d7b-4b1e-bf11-cbc5fdd8bda7"/>
    <ds:schemaRef ds:uri="478bfbae-344b-4aaf-9941-8b7873c74f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F4EE87-2597-4F80-A21A-2FC33EAB45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5CCE1B-8731-46B1-A342-9B62F45E5344}">
  <ds:schemaRefs>
    <ds:schemaRef ds:uri="http://schemas.microsoft.com/office/2006/metadata/properties"/>
    <ds:schemaRef ds:uri="http://schemas.microsoft.com/office/infopath/2007/PartnerControls"/>
    <ds:schemaRef ds:uri="caddd657-5d7b-4b1e-bf11-cbc5fdd8bda7"/>
    <ds:schemaRef ds:uri="478bfbae-344b-4aaf-9941-8b7873c74f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IT CABOS</vt:lpstr>
      <vt:lpstr>IT CABOS (2)</vt:lpstr>
      <vt:lpstr>IT TUBOS</vt:lpstr>
      <vt:lpstr>'IT CABOS (2)'!CABEÇALHO</vt:lpstr>
      <vt:lpstr>'IT TUBOS'!CABEÇALHO</vt:lpstr>
      <vt:lpstr>CABEÇALHO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.</dc:creator>
  <cp:keywords/>
  <dc:description/>
  <cp:lastModifiedBy>Daiana Bairral</cp:lastModifiedBy>
  <cp:revision/>
  <cp:lastPrinted>2026-10-20T12:24:41Z</cp:lastPrinted>
  <dcterms:created xsi:type="dcterms:W3CDTF">2005-09-06T20:42:37Z</dcterms:created>
  <dcterms:modified xsi:type="dcterms:W3CDTF">2026-10-20T12:24:51Z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0x010100D3C3B6EA92ADD94EB46952ADA2CE7DF9</vt:lpwstr>
  </property>
  <property fmtid="{D5CDD505-2E9C-101B-9397-08002B2CF9AE}" pid="3" name="Order">
    <vt:r8>178000</vt:r8>
  </property>
  <property fmtid="{D5CDD505-2E9C-101B-9397-08002B2CF9AE}" pid="4" name="MediaServiceImageTags">
    <vt:lpwstr/>
  </property>
</Properties>
</file>