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anaBairral\Desktop\LISTAS\"/>
    </mc:Choice>
  </mc:AlternateContent>
  <xr:revisionPtr revIDLastSave="0" documentId="8_{A3C68503-336D-4CD6-BCEA-3002B899CD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 CABOS" sheetId="20" r:id="rId1"/>
    <sheet name="IT CABOS (2)" sheetId="24" r:id="rId2"/>
    <sheet name="IT CABOS (3)" sheetId="25" r:id="rId3"/>
    <sheet name="IT CABOS (4)" sheetId="26" r:id="rId4"/>
    <sheet name="IT CABOS (5)" sheetId="27" r:id="rId5"/>
    <sheet name="IT CABOS (6)" sheetId="28" r:id="rId6"/>
    <sheet name="IT CABOS (7)" sheetId="29" r:id="rId7"/>
    <sheet name="IT CABOS (8)" sheetId="30" r:id="rId8"/>
    <sheet name="IT CABOS (9)" sheetId="31" r:id="rId9"/>
    <sheet name="IT CABOS (10)" sheetId="32" r:id="rId10"/>
    <sheet name="IT TUBOS" sheetId="23" r:id="rId11"/>
  </sheets>
  <definedNames>
    <definedName name="CABEÇALHO" localSheetId="9">'IT CABOS (10)'!$A$1:$L$4</definedName>
    <definedName name="CABEÇALHO" localSheetId="1">'IT CABOS (2)'!$A$1:$L$4</definedName>
    <definedName name="CABEÇALHO" localSheetId="2">'IT CABOS (3)'!$A$1:$L$4</definedName>
    <definedName name="CABEÇALHO" localSheetId="3">'IT CABOS (4)'!$A$1:$L$4</definedName>
    <definedName name="CABEÇALHO" localSheetId="4">'IT CABOS (5)'!$A$1:$L$4</definedName>
    <definedName name="CABEÇALHO" localSheetId="5">'IT CABOS (6)'!$A$1:$L$4</definedName>
    <definedName name="CABEÇALHO" localSheetId="6">'IT CABOS (7)'!$A$1:$L$4</definedName>
    <definedName name="CABEÇALHO" localSheetId="7">'IT CABOS (8)'!$A$1:$L$4</definedName>
    <definedName name="CABEÇALHO" localSheetId="8">'IT CABOS (9)'!$A$1:$L$4</definedName>
    <definedName name="CABEÇALHO" localSheetId="10">'IT TUBOS'!$A$1:$L$4</definedName>
    <definedName name="CABEÇALHO">'IT CABOS'!$A$1:$L$4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3" l="1"/>
  <c r="J4" i="23"/>
  <c r="I4" i="23"/>
  <c r="H2" i="23"/>
  <c r="F2" i="23"/>
  <c r="E4" i="23"/>
  <c r="B4" i="23"/>
  <c r="A4" i="23"/>
  <c r="K2" i="23"/>
  <c r="J2" i="23"/>
  <c r="I2" i="23"/>
</calcChain>
</file>

<file path=xl/sharedStrings.xml><?xml version="1.0" encoding="utf-8"?>
<sst xmlns="http://schemas.openxmlformats.org/spreadsheetml/2006/main" count="2994" uniqueCount="587">
  <si>
    <t>PROCESSAMENTO DE CABOS</t>
  </si>
  <si>
    <t>Descrição do Produto</t>
  </si>
  <si>
    <t>Código</t>
  </si>
  <si>
    <t>Elaborado</t>
  </si>
  <si>
    <t>Revisado</t>
  </si>
  <si>
    <t>Aprovado</t>
  </si>
  <si>
    <t>Pág.</t>
  </si>
  <si>
    <t>940 MAIN HARNESS H5 (PC0013060)</t>
  </si>
  <si>
    <t>OXB134 00A 000</t>
  </si>
  <si>
    <t>V.Lemos</t>
  </si>
  <si>
    <t>H.Braga</t>
  </si>
  <si>
    <t>1 / 10</t>
  </si>
  <si>
    <t>Data</t>
  </si>
  <si>
    <t>Descrição</t>
  </si>
  <si>
    <t>Rev.</t>
  </si>
  <si>
    <t>Setor</t>
  </si>
  <si>
    <t>Departamento</t>
  </si>
  <si>
    <t>Localização</t>
  </si>
  <si>
    <t>Nº Revisão</t>
  </si>
  <si>
    <t>Descrição da Alteração</t>
  </si>
  <si>
    <t>Emissão Inicial</t>
  </si>
  <si>
    <t>01</t>
  </si>
  <si>
    <t>Corte / Crimp</t>
  </si>
  <si>
    <t>Produção</t>
  </si>
  <si>
    <t>10 / 12 / 20 / 33</t>
  </si>
  <si>
    <t>00</t>
  </si>
  <si>
    <t>GRAVAÇÃO</t>
  </si>
  <si>
    <t>COMP</t>
  </si>
  <si>
    <t>TIPO</t>
  </si>
  <si>
    <t>TERMINAL A</t>
  </si>
  <si>
    <t>DESP. A</t>
  </si>
  <si>
    <t>CAV. A</t>
  </si>
  <si>
    <t>CONECT A</t>
  </si>
  <si>
    <t>TERMINAL B</t>
  </si>
  <si>
    <t>DESP. B</t>
  </si>
  <si>
    <t>CAV. B</t>
  </si>
  <si>
    <t>CONECT B</t>
  </si>
  <si>
    <t>OBS:</t>
  </si>
  <si>
    <t>10-48</t>
  </si>
  <si>
    <t>SAE0100PR</t>
  </si>
  <si>
    <r>
      <t>TMFMCPES28BT1025SL</t>
    </r>
    <r>
      <rPr>
        <b/>
        <sz val="11"/>
        <color rgb="FFFF0000"/>
        <rFont val="Calibri"/>
        <family val="2"/>
      </rPr>
      <t>*</t>
    </r>
  </si>
  <si>
    <t>4.0</t>
  </si>
  <si>
    <t>1</t>
  </si>
  <si>
    <r>
      <t xml:space="preserve">FUSEHS84PR01 </t>
    </r>
    <r>
      <rPr>
        <b/>
        <sz val="11"/>
        <rFont val="Calibri"/>
        <family val="2"/>
      </rPr>
      <t>(CN122)</t>
    </r>
  </si>
  <si>
    <t>SOLDA ULTRASSONICA</t>
  </si>
  <si>
    <t>16.0</t>
  </si>
  <si>
    <t>X</t>
  </si>
  <si>
    <t>BONDER SP35</t>
  </si>
  <si>
    <t>SLVAZ002</t>
  </si>
  <si>
    <t>10-49</t>
  </si>
  <si>
    <r>
      <t>TMFMCPES28BT1025SL</t>
    </r>
    <r>
      <rPr>
        <sz val="11"/>
        <color rgb="FFFF0000"/>
        <rFont val="Calibri"/>
        <family val="2"/>
      </rPr>
      <t>*</t>
    </r>
  </si>
  <si>
    <t>4</t>
  </si>
  <si>
    <t>10-87</t>
  </si>
  <si>
    <t>3</t>
  </si>
  <si>
    <t>10-88</t>
  </si>
  <si>
    <t>15</t>
  </si>
  <si>
    <t>10-89</t>
  </si>
  <si>
    <t>18</t>
  </si>
  <si>
    <t>10-90</t>
  </si>
  <si>
    <t>6</t>
  </si>
  <si>
    <t>10-47</t>
  </si>
  <si>
    <t xml:space="preserve">TMF56ES00BT0515 </t>
  </si>
  <si>
    <t>B</t>
  </si>
  <si>
    <r>
      <t>CNM5602PR</t>
    </r>
    <r>
      <rPr>
        <b/>
        <sz val="11"/>
        <rFont val="Calibri"/>
        <family val="2"/>
      </rPr>
      <t xml:space="preserve"> (CN164)</t>
    </r>
  </si>
  <si>
    <t>10-76</t>
  </si>
  <si>
    <t>SAE0150PR</t>
  </si>
  <si>
    <t>BONDER SP34</t>
  </si>
  <si>
    <t>10-45</t>
  </si>
  <si>
    <t>TMFDTNS00BT1025</t>
  </si>
  <si>
    <r>
      <t xml:space="preserve">CNFAT06CZ </t>
    </r>
    <r>
      <rPr>
        <b/>
        <sz val="11"/>
        <rFont val="Calibri"/>
        <family val="2"/>
      </rPr>
      <t>(CN13A)</t>
    </r>
  </si>
  <si>
    <t>10-51</t>
  </si>
  <si>
    <t>SAE0250PR</t>
  </si>
  <si>
    <t>BONDER SP36</t>
  </si>
  <si>
    <t>10-63</t>
  </si>
  <si>
    <t>BONDER SP24</t>
  </si>
  <si>
    <t>10-75</t>
  </si>
  <si>
    <t>SAE1000PR</t>
  </si>
  <si>
    <t>BONDER SP30</t>
  </si>
  <si>
    <t>10-78</t>
  </si>
  <si>
    <t>BONDER SP37</t>
  </si>
  <si>
    <t>10-79</t>
  </si>
  <si>
    <t>BONDER SP38</t>
  </si>
  <si>
    <t>10-80</t>
  </si>
  <si>
    <t>BONDER SP39</t>
  </si>
  <si>
    <t>10-71</t>
  </si>
  <si>
    <t>SAE0600PR</t>
  </si>
  <si>
    <t>TMOES67BT4060</t>
  </si>
  <si>
    <t>5.0</t>
  </si>
  <si>
    <r>
      <t xml:space="preserve">PONTA LIVRE </t>
    </r>
    <r>
      <rPr>
        <b/>
        <sz val="11"/>
        <rFont val="Calibri"/>
        <family val="2"/>
      </rPr>
      <t>(CN195)</t>
    </r>
  </si>
  <si>
    <t>10-62</t>
  </si>
  <si>
    <t>TMFDTMNS00BT0715</t>
  </si>
  <si>
    <t>3.5</t>
  </si>
  <si>
    <r>
      <t>CNFDRC50PR01</t>
    </r>
    <r>
      <rPr>
        <b/>
        <sz val="11"/>
        <rFont val="Calibri"/>
        <family val="2"/>
      </rPr>
      <t xml:space="preserve"> (CN100)</t>
    </r>
  </si>
  <si>
    <t>10-77</t>
  </si>
  <si>
    <t>TMFDTPNS00BT1525</t>
  </si>
  <si>
    <r>
      <t xml:space="preserve">CNFATP04CZ </t>
    </r>
    <r>
      <rPr>
        <b/>
        <sz val="11"/>
        <rFont val="Calibri"/>
        <family val="2"/>
      </rPr>
      <t>(CN102)</t>
    </r>
  </si>
  <si>
    <t>10-74</t>
  </si>
  <si>
    <t>BONDER SP31</t>
  </si>
  <si>
    <t>10-56</t>
  </si>
  <si>
    <r>
      <t>CNFAT02CZ</t>
    </r>
    <r>
      <rPr>
        <b/>
        <sz val="11"/>
        <rFont val="Calibri"/>
        <family val="2"/>
      </rPr>
      <t xml:space="preserve"> (CN178)</t>
    </r>
  </si>
  <si>
    <t>10-57</t>
  </si>
  <si>
    <r>
      <t>CNFAT02CZ</t>
    </r>
    <r>
      <rPr>
        <b/>
        <sz val="11"/>
        <rFont val="Calibri"/>
        <family val="2"/>
      </rPr>
      <t xml:space="preserve"> (CN179)</t>
    </r>
  </si>
  <si>
    <t>10-70</t>
  </si>
  <si>
    <t>BONDER SP29</t>
  </si>
  <si>
    <t>10-55</t>
  </si>
  <si>
    <r>
      <t>CNFAT02CZ</t>
    </r>
    <r>
      <rPr>
        <b/>
        <sz val="11"/>
        <rFont val="Calibri"/>
        <family val="2"/>
      </rPr>
      <t xml:space="preserve"> (CN177)</t>
    </r>
  </si>
  <si>
    <t>NOTA 1: FIXAR ETIQUETA DE APROVADO A 100mm DO CONECTOR CN4B</t>
  </si>
  <si>
    <t>NOTA 2:  A GRAVAÇÃO DOS CABOS DEVE CONTER UM INTERVALO DE 30mm UMA DA OUTRA</t>
  </si>
  <si>
    <t>LEGENDA</t>
  </si>
  <si>
    <t>(DP **)</t>
  </si>
  <si>
    <t>CRIMP. DUPLA</t>
  </si>
  <si>
    <t>LOCALIZAÇÃO:</t>
  </si>
  <si>
    <t>10 - CORTE / CRIMP.</t>
  </si>
  <si>
    <t>30 - PRÉ MONTAGEM</t>
  </si>
  <si>
    <t>36 - ETIQUETAGEM</t>
  </si>
  <si>
    <t>TOLERÂNCIA</t>
  </si>
  <si>
    <t>menor que 100mm</t>
  </si>
  <si>
    <t xml:space="preserve"> - 0mm  / + 5mm</t>
  </si>
  <si>
    <t>(TR **)</t>
  </si>
  <si>
    <t>CIRC. TRANÇADOS</t>
  </si>
  <si>
    <t>12 - DECAPAGEM</t>
  </si>
  <si>
    <t>33 - MONTAGEM BANCADA</t>
  </si>
  <si>
    <t>40 - CORTE TUBOS</t>
  </si>
  <si>
    <t>101mm - 1000mm</t>
  </si>
  <si>
    <t xml:space="preserve"> - 0mm  / + 10mm</t>
  </si>
  <si>
    <t>(TP **)</t>
  </si>
  <si>
    <t>CRIMP. TRIPLA</t>
  </si>
  <si>
    <t>20 - APLICAÇÃO</t>
  </si>
  <si>
    <t>34 - PROCESSO DE SOLDA</t>
  </si>
  <si>
    <t>120 - MONT. TÉCNICA</t>
  </si>
  <si>
    <t>maior que 1001mm</t>
  </si>
  <si>
    <t xml:space="preserve"> - 0mm  / + 25mm</t>
  </si>
  <si>
    <t>2 / 10</t>
  </si>
  <si>
    <t>10-40</t>
  </si>
  <si>
    <r>
      <t>CNFAT02CZ</t>
    </r>
    <r>
      <rPr>
        <b/>
        <sz val="11"/>
        <rFont val="Calibri"/>
        <family val="2"/>
      </rPr>
      <t xml:space="preserve"> (CN160)</t>
    </r>
  </si>
  <si>
    <t>10-41</t>
  </si>
  <si>
    <r>
      <t xml:space="preserve">CNFAT02CZ </t>
    </r>
    <r>
      <rPr>
        <b/>
        <sz val="11"/>
        <rFont val="Calibri"/>
        <family val="2"/>
      </rPr>
      <t>(CN161)</t>
    </r>
  </si>
  <si>
    <t>10-42</t>
  </si>
  <si>
    <r>
      <t xml:space="preserve">CNFAT02CZ </t>
    </r>
    <r>
      <rPr>
        <b/>
        <sz val="11"/>
        <rFont val="Calibri"/>
        <family val="2"/>
      </rPr>
      <t>(CN162)</t>
    </r>
  </si>
  <si>
    <t>10-16</t>
  </si>
  <si>
    <r>
      <t xml:space="preserve">CNFAT02CZ </t>
    </r>
    <r>
      <rPr>
        <b/>
        <sz val="11"/>
        <rFont val="Calibri"/>
        <family val="2"/>
      </rPr>
      <t>(CN137)</t>
    </r>
  </si>
  <si>
    <t>10-17</t>
  </si>
  <si>
    <r>
      <t xml:space="preserve">CNFAT02CZ </t>
    </r>
    <r>
      <rPr>
        <b/>
        <sz val="11"/>
        <rFont val="Calibri"/>
        <family val="2"/>
      </rPr>
      <t>(CN138)</t>
    </r>
  </si>
  <si>
    <t>10-20</t>
  </si>
  <si>
    <r>
      <t xml:space="preserve">CNFAT02CZ </t>
    </r>
    <r>
      <rPr>
        <b/>
        <sz val="11"/>
        <rFont val="Calibri"/>
        <family val="2"/>
      </rPr>
      <t>(CN133)</t>
    </r>
  </si>
  <si>
    <t>10-21</t>
  </si>
  <si>
    <r>
      <t xml:space="preserve">CNFAT02CZ </t>
    </r>
    <r>
      <rPr>
        <b/>
        <sz val="11"/>
        <rFont val="Calibri"/>
        <family val="2"/>
      </rPr>
      <t>(CN134)</t>
    </r>
  </si>
  <si>
    <t>10-22</t>
  </si>
  <si>
    <r>
      <t xml:space="preserve">CNFAT02CZ </t>
    </r>
    <r>
      <rPr>
        <b/>
        <sz val="11"/>
        <rFont val="Calibri"/>
        <family val="2"/>
      </rPr>
      <t>(CN135)</t>
    </r>
  </si>
  <si>
    <t>10-23</t>
  </si>
  <si>
    <r>
      <t xml:space="preserve">CNFAT02CZ </t>
    </r>
    <r>
      <rPr>
        <b/>
        <sz val="11"/>
        <rFont val="Calibri"/>
        <family val="2"/>
      </rPr>
      <t>(CN136)</t>
    </r>
  </si>
  <si>
    <t>10-44</t>
  </si>
  <si>
    <r>
      <t>CNFATP04CZ</t>
    </r>
    <r>
      <rPr>
        <b/>
        <sz val="11"/>
        <rFont val="Calibri"/>
        <family val="2"/>
      </rPr>
      <t xml:space="preserve"> (CN11A)</t>
    </r>
  </si>
  <si>
    <t>10-46</t>
  </si>
  <si>
    <r>
      <t xml:space="preserve">CNFAT06CZ </t>
    </r>
    <r>
      <rPr>
        <b/>
        <sz val="11"/>
        <rFont val="Calibri"/>
        <family val="2"/>
      </rPr>
      <t>(CN12A)</t>
    </r>
  </si>
  <si>
    <t>10-18</t>
  </si>
  <si>
    <r>
      <t xml:space="preserve">CNFAT02CZ </t>
    </r>
    <r>
      <rPr>
        <b/>
        <sz val="11"/>
        <rFont val="Calibri"/>
        <family val="2"/>
      </rPr>
      <t>(CN139)</t>
    </r>
  </si>
  <si>
    <t>10-19</t>
  </si>
  <si>
    <r>
      <t xml:space="preserve">CNFAT02CZ </t>
    </r>
    <r>
      <rPr>
        <b/>
        <sz val="11"/>
        <rFont val="Calibri"/>
        <family val="2"/>
      </rPr>
      <t>(CN140)</t>
    </r>
  </si>
  <si>
    <t>10-54</t>
  </si>
  <si>
    <r>
      <t xml:space="preserve">CNFAT02CZ </t>
    </r>
    <r>
      <rPr>
        <b/>
        <sz val="11"/>
        <rFont val="Calibri"/>
        <family val="2"/>
      </rPr>
      <t>(CN176)</t>
    </r>
  </si>
  <si>
    <t>10-68</t>
  </si>
  <si>
    <t>BONDER SP27</t>
  </si>
  <si>
    <t>10-69</t>
  </si>
  <si>
    <r>
      <t xml:space="preserve">CNFAT12CZ </t>
    </r>
    <r>
      <rPr>
        <b/>
        <sz val="11"/>
        <rFont val="Calibri"/>
        <family val="2"/>
      </rPr>
      <t>(CN8B)</t>
    </r>
  </si>
  <si>
    <t>10-66</t>
  </si>
  <si>
    <t>BONDER SP25</t>
  </si>
  <si>
    <t>10-64</t>
  </si>
  <si>
    <t>TMMDTPNS00BT1525</t>
  </si>
  <si>
    <r>
      <t xml:space="preserve">CNMHDP29PRL017 </t>
    </r>
    <r>
      <rPr>
        <b/>
        <sz val="11"/>
        <rFont val="Calibri"/>
        <family val="2"/>
      </rPr>
      <t>(CN4B)</t>
    </r>
  </si>
  <si>
    <t>10-65</t>
  </si>
  <si>
    <t>328-1</t>
  </si>
  <si>
    <t>SAE0100RS</t>
  </si>
  <si>
    <t>2</t>
  </si>
  <si>
    <t>21-5</t>
  </si>
  <si>
    <t>SAE0250VM</t>
  </si>
  <si>
    <t>4.5</t>
  </si>
  <si>
    <t>BONDER SP10</t>
  </si>
  <si>
    <t>21-6</t>
  </si>
  <si>
    <t>21-4</t>
  </si>
  <si>
    <t>SAE1000VM</t>
  </si>
  <si>
    <t>TMOES50BT100160</t>
  </si>
  <si>
    <t>10.0</t>
  </si>
  <si>
    <r>
      <t>PONTA LIVRE</t>
    </r>
    <r>
      <rPr>
        <b/>
        <sz val="11"/>
        <rFont val="Calibri"/>
        <family val="2"/>
      </rPr>
      <t xml:space="preserve"> (CN165)</t>
    </r>
  </si>
  <si>
    <t>51-1</t>
  </si>
  <si>
    <t>SAE0100VM</t>
  </si>
  <si>
    <t>84</t>
  </si>
  <si>
    <t>352-1</t>
  </si>
  <si>
    <t>SAE0075RS</t>
  </si>
  <si>
    <t>TMFDTNS00BT0510</t>
  </si>
  <si>
    <r>
      <t xml:space="preserve">CNFDRC50PR02 </t>
    </r>
    <r>
      <rPr>
        <b/>
        <sz val="11"/>
        <rFont val="Calibri"/>
        <family val="2"/>
      </rPr>
      <t>(CN101)</t>
    </r>
  </si>
  <si>
    <t>3 / 10</t>
  </si>
  <si>
    <t>904-9</t>
  </si>
  <si>
    <t>CAN2V075PR02-AM</t>
  </si>
  <si>
    <t>TMMDTNS00BT0510</t>
  </si>
  <si>
    <r>
      <rPr>
        <b/>
        <sz val="11"/>
        <color rgb="FFFF0000"/>
        <rFont val="Calibri"/>
        <family val="2"/>
      </rPr>
      <t>40.0/</t>
    </r>
    <r>
      <rPr>
        <sz val="11"/>
        <rFont val="Calibri"/>
        <family val="2"/>
      </rPr>
      <t>4.0</t>
    </r>
  </si>
  <si>
    <t>TME040036</t>
  </si>
  <si>
    <r>
      <rPr>
        <b/>
        <sz val="11"/>
        <color rgb="FFFF0000"/>
        <rFont val="Calibri"/>
        <family val="2"/>
      </rPr>
      <t>40.0</t>
    </r>
    <r>
      <rPr>
        <sz val="11"/>
        <rFont val="Calibri"/>
        <family val="2"/>
      </rPr>
      <t>/6.0</t>
    </r>
  </si>
  <si>
    <t>SPLICE SP57</t>
  </si>
  <si>
    <t>905-9</t>
  </si>
  <si>
    <t>CAN2V075PR02-VD</t>
  </si>
  <si>
    <r>
      <rPr>
        <b/>
        <sz val="11"/>
        <color rgb="FFFF0000"/>
        <rFont val="Calibri"/>
        <family val="2"/>
      </rPr>
      <t>40.0</t>
    </r>
    <r>
      <rPr>
        <sz val="11"/>
        <rFont val="Calibri"/>
        <family val="2"/>
      </rPr>
      <t>/4.0</t>
    </r>
  </si>
  <si>
    <t>SPLICE SP58</t>
  </si>
  <si>
    <t>904-10</t>
  </si>
  <si>
    <t>6.0</t>
  </si>
  <si>
    <t>SPLICE SP64</t>
  </si>
  <si>
    <t>905-10</t>
  </si>
  <si>
    <t>SPLICE SP63</t>
  </si>
  <si>
    <t>904-11</t>
  </si>
  <si>
    <r>
      <t>CNFAT04CZ</t>
    </r>
    <r>
      <rPr>
        <b/>
        <sz val="11"/>
        <rFont val="Calibri"/>
        <family val="2"/>
      </rPr>
      <t xml:space="preserve"> (CN9A)</t>
    </r>
  </si>
  <si>
    <t>905-11</t>
  </si>
  <si>
    <t>904-12</t>
  </si>
  <si>
    <t>A</t>
  </si>
  <si>
    <r>
      <t>CNMAT03CZ</t>
    </r>
    <r>
      <rPr>
        <b/>
        <sz val="11"/>
        <rFont val="Calibri"/>
        <family val="2"/>
      </rPr>
      <t xml:space="preserve"> (CN235)</t>
    </r>
  </si>
  <si>
    <t>905-12</t>
  </si>
  <si>
    <t>904-13</t>
  </si>
  <si>
    <r>
      <rPr>
        <b/>
        <sz val="11"/>
        <color rgb="FFFF0000"/>
        <rFont val="Calibri"/>
        <family val="2"/>
      </rPr>
      <t>40.0</t>
    </r>
    <r>
      <rPr>
        <sz val="11"/>
        <rFont val="Calibri"/>
        <family val="2"/>
      </rPr>
      <t>/3.5</t>
    </r>
  </si>
  <si>
    <r>
      <rPr>
        <sz val="11"/>
        <rFont val="Calibri"/>
        <family val="2"/>
      </rPr>
      <t>CNFDRC50PR01</t>
    </r>
    <r>
      <rPr>
        <b/>
        <sz val="11"/>
        <rFont val="Calibri"/>
        <family val="2"/>
      </rPr>
      <t xml:space="preserve"> (CN100)</t>
    </r>
  </si>
  <si>
    <t>905-13</t>
  </si>
  <si>
    <t>1904-7</t>
  </si>
  <si>
    <t>7</t>
  </si>
  <si>
    <t>SPLICE SP59</t>
  </si>
  <si>
    <t>1905-7</t>
  </si>
  <si>
    <t>8</t>
  </si>
  <si>
    <t>SPLICE SP60</t>
  </si>
  <si>
    <t>1904-9</t>
  </si>
  <si>
    <t>1905-9</t>
  </si>
  <si>
    <t>1904-8</t>
  </si>
  <si>
    <t>SPLICE SP65</t>
  </si>
  <si>
    <t>1905-8</t>
  </si>
  <si>
    <t>SPLICE SP66</t>
  </si>
  <si>
    <t>1904-10</t>
  </si>
  <si>
    <r>
      <t>CNMAT03CZ</t>
    </r>
    <r>
      <rPr>
        <b/>
        <sz val="11"/>
        <rFont val="Calibri"/>
        <family val="2"/>
      </rPr>
      <t xml:space="preserve"> (CN236)</t>
    </r>
  </si>
  <si>
    <t>1905-10</t>
  </si>
  <si>
    <t>1904-11</t>
  </si>
  <si>
    <t>13</t>
  </si>
  <si>
    <t>1905-11</t>
  </si>
  <si>
    <t>14</t>
  </si>
  <si>
    <t>351-1</t>
  </si>
  <si>
    <t>32</t>
  </si>
  <si>
    <t>350-1</t>
  </si>
  <si>
    <t>31</t>
  </si>
  <si>
    <t>353-1</t>
  </si>
  <si>
    <t>354-1</t>
  </si>
  <si>
    <t>750-1</t>
  </si>
  <si>
    <t>SAE0100AM</t>
  </si>
  <si>
    <r>
      <t>TMFMPES00BT0810</t>
    </r>
    <r>
      <rPr>
        <sz val="11"/>
        <color rgb="FFFF0000"/>
        <rFont val="Calibri"/>
        <family val="2"/>
      </rPr>
      <t>*</t>
    </r>
  </si>
  <si>
    <r>
      <t>CNMMP02CZ</t>
    </r>
    <r>
      <rPr>
        <b/>
        <sz val="11"/>
        <rFont val="Calibri"/>
        <family val="2"/>
      </rPr>
      <t xml:space="preserve"> (CN186)</t>
    </r>
  </si>
  <si>
    <t>17</t>
  </si>
  <si>
    <t>NOTA 3</t>
  </si>
  <si>
    <t>4 / 10</t>
  </si>
  <si>
    <t>40-10</t>
  </si>
  <si>
    <t>SAE0075VM</t>
  </si>
  <si>
    <t>SPLICE SP69</t>
  </si>
  <si>
    <t>40-27</t>
  </si>
  <si>
    <t>SPLICE SP21</t>
  </si>
  <si>
    <t>40-5</t>
  </si>
  <si>
    <t>40-15</t>
  </si>
  <si>
    <r>
      <t xml:space="preserve">CNFATM06CZ </t>
    </r>
    <r>
      <rPr>
        <b/>
        <sz val="11"/>
        <rFont val="Calibri"/>
        <family val="2"/>
      </rPr>
      <t>(CN157)</t>
    </r>
  </si>
  <si>
    <t>40-14</t>
  </si>
  <si>
    <r>
      <t xml:space="preserve">CNFATM06CZ </t>
    </r>
    <r>
      <rPr>
        <b/>
        <sz val="11"/>
        <rFont val="Calibri"/>
        <family val="2"/>
      </rPr>
      <t>(CN156)</t>
    </r>
  </si>
  <si>
    <t>40-6</t>
  </si>
  <si>
    <r>
      <t>TMMDHES00BT0508</t>
    </r>
    <r>
      <rPr>
        <b/>
        <sz val="11"/>
        <color rgb="FFFF0000"/>
        <rFont val="Calibri"/>
        <family val="2"/>
      </rPr>
      <t>*</t>
    </r>
  </si>
  <si>
    <r>
      <t xml:space="preserve">CNFDH04PR01 </t>
    </r>
    <r>
      <rPr>
        <b/>
        <sz val="11"/>
        <rFont val="Calibri"/>
        <family val="2"/>
      </rPr>
      <t>(CN192)</t>
    </r>
  </si>
  <si>
    <t>SLVVL002</t>
  </si>
  <si>
    <t>40-13</t>
  </si>
  <si>
    <t>BONDER SP20</t>
  </si>
  <si>
    <t>40-12</t>
  </si>
  <si>
    <t>40-11</t>
  </si>
  <si>
    <t>40-8</t>
  </si>
  <si>
    <r>
      <t xml:space="preserve">CNFAT12CZ </t>
    </r>
    <r>
      <rPr>
        <b/>
        <sz val="11"/>
        <rFont val="Calibri"/>
        <family val="2"/>
      </rPr>
      <t>(CN6B)</t>
    </r>
  </si>
  <si>
    <t>40-7</t>
  </si>
  <si>
    <r>
      <t xml:space="preserve">CNFAT12CZ </t>
    </r>
    <r>
      <rPr>
        <b/>
        <sz val="11"/>
        <rFont val="Calibri"/>
        <family val="2"/>
      </rPr>
      <t>(CN5B)</t>
    </r>
  </si>
  <si>
    <t>40-4</t>
  </si>
  <si>
    <t>15-7</t>
  </si>
  <si>
    <t>SAE0075PR</t>
  </si>
  <si>
    <t>SPLICE SP67</t>
  </si>
  <si>
    <t>15-26</t>
  </si>
  <si>
    <t>SPLICE SP23</t>
  </si>
  <si>
    <t>15-9</t>
  </si>
  <si>
    <t>23</t>
  </si>
  <si>
    <t>15-13</t>
  </si>
  <si>
    <t>15-12</t>
  </si>
  <si>
    <t>15-3</t>
  </si>
  <si>
    <t>C</t>
  </si>
  <si>
    <t>15-14</t>
  </si>
  <si>
    <t>BONDER SP22</t>
  </si>
  <si>
    <t>15-27</t>
  </si>
  <si>
    <t>SPLICE SP68</t>
  </si>
  <si>
    <t>15-11</t>
  </si>
  <si>
    <t>15-10</t>
  </si>
  <si>
    <t>15-1</t>
  </si>
  <si>
    <t>9</t>
  </si>
  <si>
    <t>15-2</t>
  </si>
  <si>
    <r>
      <t>CNFATM04CZ</t>
    </r>
    <r>
      <rPr>
        <b/>
        <sz val="11"/>
        <rFont val="Calibri"/>
        <family val="2"/>
      </rPr>
      <t xml:space="preserve"> (CN170)</t>
    </r>
  </si>
  <si>
    <t>15-6</t>
  </si>
  <si>
    <t>NOTA 3: PASSAR CIRCUITOS PELO CONECTOR ANTES DE APLICAR O TERMINAL</t>
  </si>
  <si>
    <t>5 / 10</t>
  </si>
  <si>
    <t>15-5</t>
  </si>
  <si>
    <t>15-4</t>
  </si>
  <si>
    <t>830-1</t>
  </si>
  <si>
    <t>SAE0075LR</t>
  </si>
  <si>
    <t>16</t>
  </si>
  <si>
    <t>831-1</t>
  </si>
  <si>
    <t>21</t>
  </si>
  <si>
    <t>29-1</t>
  </si>
  <si>
    <t>79</t>
  </si>
  <si>
    <t>615-1</t>
  </si>
  <si>
    <t>SAE0075VD</t>
  </si>
  <si>
    <t>10</t>
  </si>
  <si>
    <t>20</t>
  </si>
  <si>
    <t>803-1</t>
  </si>
  <si>
    <t>12</t>
  </si>
  <si>
    <r>
      <t xml:space="preserve">CNFDTM04CZ </t>
    </r>
    <r>
      <rPr>
        <b/>
        <sz val="11"/>
        <rFont val="Calibri"/>
        <family val="2"/>
      </rPr>
      <t>(CN170)</t>
    </r>
  </si>
  <si>
    <t>600-1</t>
  </si>
  <si>
    <t>602-1</t>
  </si>
  <si>
    <t>19</t>
  </si>
  <si>
    <t>603-1</t>
  </si>
  <si>
    <t>616-1</t>
  </si>
  <si>
    <t>22</t>
  </si>
  <si>
    <t>802-1</t>
  </si>
  <si>
    <t>26</t>
  </si>
  <si>
    <t>854-1</t>
  </si>
  <si>
    <t>SAE0100CZ</t>
  </si>
  <si>
    <t>27</t>
  </si>
  <si>
    <r>
      <t xml:space="preserve">CNFAT02CZ </t>
    </r>
    <r>
      <rPr>
        <b/>
        <sz val="11"/>
        <rFont val="Calibri"/>
        <family val="2"/>
      </rPr>
      <t>(CN188)</t>
    </r>
  </si>
  <si>
    <t>853-1</t>
  </si>
  <si>
    <t>28</t>
  </si>
  <si>
    <r>
      <t xml:space="preserve">CNFAT02CZ </t>
    </r>
    <r>
      <rPr>
        <b/>
        <sz val="11"/>
        <rFont val="Calibri"/>
        <family val="2"/>
      </rPr>
      <t>(CN189)</t>
    </r>
  </si>
  <si>
    <t>705-1</t>
  </si>
  <si>
    <t>SAE0100VL</t>
  </si>
  <si>
    <t>29</t>
  </si>
  <si>
    <r>
      <t xml:space="preserve">CNFAT02CZ </t>
    </r>
    <r>
      <rPr>
        <b/>
        <sz val="11"/>
        <rFont val="Calibri"/>
        <family val="2"/>
      </rPr>
      <t>(CN190)</t>
    </r>
  </si>
  <si>
    <t>706-1</t>
  </si>
  <si>
    <t>SAE0075VL</t>
  </si>
  <si>
    <t>30</t>
  </si>
  <si>
    <t>404-1</t>
  </si>
  <si>
    <t>34</t>
  </si>
  <si>
    <t>484-1</t>
  </si>
  <si>
    <t>SAE0100VD</t>
  </si>
  <si>
    <t>35</t>
  </si>
  <si>
    <t>405-1</t>
  </si>
  <si>
    <t>37</t>
  </si>
  <si>
    <t>421-1</t>
  </si>
  <si>
    <t>38</t>
  </si>
  <si>
    <r>
      <t xml:space="preserve">CNFAT02CZ </t>
    </r>
    <r>
      <rPr>
        <b/>
        <sz val="11"/>
        <rFont val="Calibri"/>
        <family val="2"/>
      </rPr>
      <t>(CN124)</t>
    </r>
  </si>
  <si>
    <t>418-1</t>
  </si>
  <si>
    <t>39</t>
  </si>
  <si>
    <r>
      <t xml:space="preserve">CNFAT02CZ </t>
    </r>
    <r>
      <rPr>
        <b/>
        <sz val="11"/>
        <rFont val="Calibri"/>
        <family val="2"/>
      </rPr>
      <t>(CN127)</t>
    </r>
  </si>
  <si>
    <t>420-1</t>
  </si>
  <si>
    <t>40</t>
  </si>
  <si>
    <r>
      <t xml:space="preserve">CNFAT02CZ </t>
    </r>
    <r>
      <rPr>
        <b/>
        <sz val="11"/>
        <rFont val="Calibri"/>
        <family val="2"/>
      </rPr>
      <t>(CN125)</t>
    </r>
  </si>
  <si>
    <t>417-1</t>
  </si>
  <si>
    <t>41</t>
  </si>
  <si>
    <r>
      <t xml:space="preserve">CNFAT02CZ </t>
    </r>
    <r>
      <rPr>
        <b/>
        <sz val="11"/>
        <rFont val="Calibri"/>
        <family val="2"/>
      </rPr>
      <t>(CN126)</t>
    </r>
  </si>
  <si>
    <t>419-1</t>
  </si>
  <si>
    <t>42</t>
  </si>
  <si>
    <r>
      <t xml:space="preserve">CNFAT02CZ </t>
    </r>
    <r>
      <rPr>
        <b/>
        <sz val="11"/>
        <rFont val="Calibri"/>
        <family val="2"/>
      </rPr>
      <t>(CN128)</t>
    </r>
  </si>
  <si>
    <t>460-1</t>
  </si>
  <si>
    <t>43</t>
  </si>
  <si>
    <r>
      <t xml:space="preserve">CNFAT02CZ </t>
    </r>
    <r>
      <rPr>
        <b/>
        <sz val="11"/>
        <rFont val="Calibri"/>
        <family val="2"/>
      </rPr>
      <t>(CN130)</t>
    </r>
  </si>
  <si>
    <t>6 / 10</t>
  </si>
  <si>
    <t>416-1</t>
  </si>
  <si>
    <t>44</t>
  </si>
  <si>
    <r>
      <t xml:space="preserve">CNFAT02CZ </t>
    </r>
    <r>
      <rPr>
        <b/>
        <sz val="11"/>
        <rFont val="Calibri"/>
        <family val="2"/>
      </rPr>
      <t>(CN129)</t>
    </r>
  </si>
  <si>
    <t>208-1</t>
  </si>
  <si>
    <t>SAE0100AZ</t>
  </si>
  <si>
    <t>45</t>
  </si>
  <si>
    <t>209-1</t>
  </si>
  <si>
    <t>46</t>
  </si>
  <si>
    <t>326-1</t>
  </si>
  <si>
    <t>47</t>
  </si>
  <si>
    <t>327-1</t>
  </si>
  <si>
    <t>48</t>
  </si>
  <si>
    <t>329-1</t>
  </si>
  <si>
    <t>50</t>
  </si>
  <si>
    <t>801-1</t>
  </si>
  <si>
    <t>800-1</t>
  </si>
  <si>
    <t>821-1</t>
  </si>
  <si>
    <t>822-1</t>
  </si>
  <si>
    <t>823-1</t>
  </si>
  <si>
    <t>5</t>
  </si>
  <si>
    <t>818-1</t>
  </si>
  <si>
    <t>819-1</t>
  </si>
  <si>
    <t>820-1</t>
  </si>
  <si>
    <t>41-8</t>
  </si>
  <si>
    <t xml:space="preserve">SOLDA ULTRASSONICA </t>
  </si>
  <si>
    <t>BONDER SP19</t>
  </si>
  <si>
    <t>41-5</t>
  </si>
  <si>
    <t>SPLICE SP18</t>
  </si>
  <si>
    <t>41-1</t>
  </si>
  <si>
    <t>41-21</t>
  </si>
  <si>
    <t>SPLICE SP70</t>
  </si>
  <si>
    <t>41-15</t>
  </si>
  <si>
    <r>
      <t xml:space="preserve">CNFAT02CZ </t>
    </r>
    <r>
      <rPr>
        <b/>
        <sz val="11"/>
        <rFont val="Calibri"/>
        <family val="2"/>
      </rPr>
      <t>(CN149)</t>
    </r>
  </si>
  <si>
    <t>41-14</t>
  </si>
  <si>
    <r>
      <t xml:space="preserve">CNFAT02CZ </t>
    </r>
    <r>
      <rPr>
        <b/>
        <sz val="11"/>
        <rFont val="Calibri"/>
        <family val="2"/>
      </rPr>
      <t>(CN148)</t>
    </r>
  </si>
  <si>
    <t>41-13</t>
  </si>
  <si>
    <r>
      <t xml:space="preserve">CNFAT02CZ </t>
    </r>
    <r>
      <rPr>
        <b/>
        <sz val="11"/>
        <rFont val="Calibri"/>
        <family val="2"/>
      </rPr>
      <t>(CN147)</t>
    </r>
  </si>
  <si>
    <t>41-12</t>
  </si>
  <si>
    <r>
      <t xml:space="preserve">CNFAT02CZ </t>
    </r>
    <r>
      <rPr>
        <b/>
        <sz val="11"/>
        <rFont val="Calibri"/>
        <family val="2"/>
      </rPr>
      <t>(CN146)</t>
    </r>
  </si>
  <si>
    <t>41-2</t>
  </si>
  <si>
    <t>BONDER SP18</t>
  </si>
  <si>
    <t>41-3</t>
  </si>
  <si>
    <t>41-4</t>
  </si>
  <si>
    <t>7 / 10</t>
  </si>
  <si>
    <t>41-7</t>
  </si>
  <si>
    <t>41-6</t>
  </si>
  <si>
    <t>SPLICE SP71</t>
  </si>
  <si>
    <t>41-11</t>
  </si>
  <si>
    <r>
      <rPr>
        <sz val="11"/>
        <rFont val="Calibri"/>
        <family val="2"/>
      </rPr>
      <t>CNFAT12CZ</t>
    </r>
    <r>
      <rPr>
        <b/>
        <sz val="11"/>
        <rFont val="Calibri"/>
        <family val="2"/>
      </rPr>
      <t xml:space="preserve"> (CN6B)</t>
    </r>
  </si>
  <si>
    <t>41-9</t>
  </si>
  <si>
    <r>
      <rPr>
        <sz val="11"/>
        <rFont val="Calibri"/>
        <family val="2"/>
      </rPr>
      <t>CNFAT12CZ</t>
    </r>
    <r>
      <rPr>
        <b/>
        <sz val="11"/>
        <rFont val="Calibri"/>
        <family val="2"/>
      </rPr>
      <t xml:space="preserve"> (CN5B)</t>
    </r>
  </si>
  <si>
    <t>10-83</t>
  </si>
  <si>
    <r>
      <t xml:space="preserve">CNFAT02CZ </t>
    </r>
    <r>
      <rPr>
        <b/>
        <sz val="11"/>
        <rFont val="Calibri"/>
        <family val="2"/>
      </rPr>
      <t>(CN214)</t>
    </r>
  </si>
  <si>
    <t>10-61</t>
  </si>
  <si>
    <r>
      <t xml:space="preserve">CNFAT02CZ </t>
    </r>
    <r>
      <rPr>
        <b/>
        <sz val="11"/>
        <rFont val="Calibri"/>
        <family val="2"/>
      </rPr>
      <t>(CN7A)</t>
    </r>
  </si>
  <si>
    <t>10-59</t>
  </si>
  <si>
    <t>10-14</t>
  </si>
  <si>
    <t>531-1</t>
  </si>
  <si>
    <t>SAE0100MR</t>
  </si>
  <si>
    <t>318-1</t>
  </si>
  <si>
    <t>314-1</t>
  </si>
  <si>
    <t>700-1</t>
  </si>
  <si>
    <t>701-1</t>
  </si>
  <si>
    <t>702-1</t>
  </si>
  <si>
    <t>703-1</t>
  </si>
  <si>
    <t>805-2</t>
  </si>
  <si>
    <t>11</t>
  </si>
  <si>
    <t>205-1</t>
  </si>
  <si>
    <t>206-1</t>
  </si>
  <si>
    <r>
      <t xml:space="preserve">CNFAT02CZ </t>
    </r>
    <r>
      <rPr>
        <b/>
        <sz val="11"/>
        <rFont val="Calibri"/>
        <family val="2"/>
      </rPr>
      <t>(CN160)</t>
    </r>
  </si>
  <si>
    <t>207-1</t>
  </si>
  <si>
    <t>502-1</t>
  </si>
  <si>
    <t>433-1</t>
  </si>
  <si>
    <t>434-1</t>
  </si>
  <si>
    <t>435-1</t>
  </si>
  <si>
    <t>436-1</t>
  </si>
  <si>
    <t>463-1</t>
  </si>
  <si>
    <r>
      <t xml:space="preserve">CNFAT02CZ </t>
    </r>
    <r>
      <rPr>
        <b/>
        <sz val="11"/>
        <rFont val="Calibri"/>
        <family val="2"/>
      </rPr>
      <t>(CN225)</t>
    </r>
  </si>
  <si>
    <t>8 / 10</t>
  </si>
  <si>
    <t>477-1</t>
  </si>
  <si>
    <t>SPLICE SP12</t>
  </si>
  <si>
    <t>477-3</t>
  </si>
  <si>
    <t>477-4</t>
  </si>
  <si>
    <t>477-2</t>
  </si>
  <si>
    <r>
      <t xml:space="preserve">CNFATM02CZ </t>
    </r>
    <r>
      <rPr>
        <b/>
        <sz val="11"/>
        <rFont val="Calibri"/>
        <family val="2"/>
      </rPr>
      <t>(CN174)</t>
    </r>
  </si>
  <si>
    <t>478-1</t>
  </si>
  <si>
    <t>SPLICE SP13</t>
  </si>
  <si>
    <t>478-3</t>
  </si>
  <si>
    <t>478-4</t>
  </si>
  <si>
    <t>478-2</t>
  </si>
  <si>
    <t>461-1</t>
  </si>
  <si>
    <r>
      <t xml:space="preserve">CNFAT02CZ </t>
    </r>
    <r>
      <rPr>
        <b/>
        <sz val="11"/>
        <rFont val="Calibri"/>
        <family val="2"/>
      </rPr>
      <t>(CN131)</t>
    </r>
  </si>
  <si>
    <t>462-1</t>
  </si>
  <si>
    <r>
      <t xml:space="preserve">CNFAT02CZ </t>
    </r>
    <r>
      <rPr>
        <b/>
        <sz val="11"/>
        <rFont val="Calibri"/>
        <family val="2"/>
      </rPr>
      <t>(CN132)</t>
    </r>
  </si>
  <si>
    <t>10-27</t>
  </si>
  <si>
    <t>10-24</t>
  </si>
  <si>
    <t>10-30</t>
  </si>
  <si>
    <t>10-31</t>
  </si>
  <si>
    <t>10-25</t>
  </si>
  <si>
    <t>10-26</t>
  </si>
  <si>
    <t>10-28</t>
  </si>
  <si>
    <t>10-29</t>
  </si>
  <si>
    <t>10-32</t>
  </si>
  <si>
    <t>10-91</t>
  </si>
  <si>
    <t>508-2</t>
  </si>
  <si>
    <t>SAE0075MR</t>
  </si>
  <si>
    <r>
      <t>CNFAT12CZ</t>
    </r>
    <r>
      <rPr>
        <b/>
        <sz val="11"/>
        <rFont val="Calibri"/>
        <family val="2"/>
      </rPr>
      <t xml:space="preserve"> (CN5B)</t>
    </r>
  </si>
  <si>
    <t>511-2</t>
  </si>
  <si>
    <t>SPLICE  SP7</t>
  </si>
  <si>
    <t>511-3</t>
  </si>
  <si>
    <r>
      <t>CNFAT12CZ</t>
    </r>
    <r>
      <rPr>
        <b/>
        <sz val="11"/>
        <rFont val="Calibri"/>
        <family val="2"/>
      </rPr>
      <t xml:space="preserve"> (CN6B)</t>
    </r>
  </si>
  <si>
    <t>511-4</t>
  </si>
  <si>
    <t>507-2</t>
  </si>
  <si>
    <t>9 / 10</t>
  </si>
  <si>
    <t>510-3</t>
  </si>
  <si>
    <t>SPLICE SP6</t>
  </si>
  <si>
    <t>510-2</t>
  </si>
  <si>
    <t>510-4</t>
  </si>
  <si>
    <t>TMMDTNS00BT1025</t>
  </si>
  <si>
    <t>44-2</t>
  </si>
  <si>
    <t>25-7</t>
  </si>
  <si>
    <t>67</t>
  </si>
  <si>
    <t>26-1</t>
  </si>
  <si>
    <t>SAE0150VM</t>
  </si>
  <si>
    <t>81</t>
  </si>
  <si>
    <t>SLVAZ002 2X</t>
  </si>
  <si>
    <t>27-1</t>
  </si>
  <si>
    <t>69</t>
  </si>
  <si>
    <t>476-1</t>
  </si>
  <si>
    <t>SAE0150VD</t>
  </si>
  <si>
    <r>
      <t xml:space="preserve">CNFATP04CZ </t>
    </r>
    <r>
      <rPr>
        <b/>
        <sz val="11"/>
        <rFont val="Calibri"/>
        <family val="2"/>
      </rPr>
      <t>(CN11A)</t>
    </r>
  </si>
  <si>
    <t>501-13</t>
  </si>
  <si>
    <t>SAE0150MR</t>
  </si>
  <si>
    <t>BONDER SP15</t>
  </si>
  <si>
    <t>501-7</t>
  </si>
  <si>
    <t>BONDER SP16</t>
  </si>
  <si>
    <t>501-4</t>
  </si>
  <si>
    <t>BONDER SP14</t>
  </si>
  <si>
    <t>501-5</t>
  </si>
  <si>
    <r>
      <t xml:space="preserve">CNFAT02CZ </t>
    </r>
    <r>
      <rPr>
        <b/>
        <sz val="11"/>
        <rFont val="Calibri"/>
        <family val="2"/>
      </rPr>
      <t>(CN178)</t>
    </r>
  </si>
  <si>
    <t>501-6</t>
  </si>
  <si>
    <r>
      <t xml:space="preserve">CNFAT02CZ </t>
    </r>
    <r>
      <rPr>
        <b/>
        <sz val="11"/>
        <rFont val="Calibri"/>
        <family val="2"/>
      </rPr>
      <t>(CN179)</t>
    </r>
  </si>
  <si>
    <t>501-11</t>
  </si>
  <si>
    <t>501-10</t>
  </si>
  <si>
    <r>
      <t>CNFAT02CZ</t>
    </r>
    <r>
      <rPr>
        <b/>
        <sz val="11"/>
        <rFont val="Calibri"/>
        <family val="2"/>
      </rPr>
      <t xml:space="preserve"> (CN7A)</t>
    </r>
  </si>
  <si>
    <t>501-9</t>
  </si>
  <si>
    <t>501-1</t>
  </si>
  <si>
    <t>24</t>
  </si>
  <si>
    <t>501-2</t>
  </si>
  <si>
    <r>
      <t>CNFAT02CZ</t>
    </r>
    <r>
      <rPr>
        <b/>
        <sz val="11"/>
        <rFont val="Calibri"/>
        <family val="2"/>
      </rPr>
      <t xml:space="preserve"> (CN176)</t>
    </r>
  </si>
  <si>
    <t>501-3</t>
  </si>
  <si>
    <t>30-1</t>
  </si>
  <si>
    <r>
      <rPr>
        <sz val="11"/>
        <rFont val="Calibri"/>
        <family val="2"/>
      </rPr>
      <t>CNFATP04CZ</t>
    </r>
    <r>
      <rPr>
        <b/>
        <sz val="11"/>
        <rFont val="Calibri"/>
        <family val="2"/>
      </rPr>
      <t xml:space="preserve"> (CN102)</t>
    </r>
  </si>
  <si>
    <r>
      <t>TMFMCPES28BT2030</t>
    </r>
    <r>
      <rPr>
        <b/>
        <sz val="11"/>
        <color rgb="FFFF0000"/>
        <rFont val="Calibri"/>
        <family val="2"/>
      </rPr>
      <t>*</t>
    </r>
  </si>
  <si>
    <t>73</t>
  </si>
  <si>
    <t>SLVMR009</t>
  </si>
  <si>
    <t>31-1</t>
  </si>
  <si>
    <t>75</t>
  </si>
  <si>
    <t>32-1</t>
  </si>
  <si>
    <t>78</t>
  </si>
  <si>
    <t>22-8</t>
  </si>
  <si>
    <t>BONDER SP11</t>
  </si>
  <si>
    <t>68</t>
  </si>
  <si>
    <t>22-9</t>
  </si>
  <si>
    <t>70</t>
  </si>
  <si>
    <t>22-7</t>
  </si>
  <si>
    <t>77</t>
  </si>
  <si>
    <t>10 / 10</t>
  </si>
  <si>
    <t>22-6</t>
  </si>
  <si>
    <t>76</t>
  </si>
  <si>
    <t>22-5</t>
  </si>
  <si>
    <t>74</t>
  </si>
  <si>
    <t>22-4</t>
  </si>
  <si>
    <t>83</t>
  </si>
  <si>
    <t>22-3</t>
  </si>
  <si>
    <t>82</t>
  </si>
  <si>
    <t>22-2</t>
  </si>
  <si>
    <t>80</t>
  </si>
  <si>
    <t>22-1</t>
  </si>
  <si>
    <r>
      <rPr>
        <sz val="11"/>
        <rFont val="Calibri"/>
        <family val="2"/>
      </rPr>
      <t xml:space="preserve">PONT ALIVRE </t>
    </r>
    <r>
      <rPr>
        <b/>
        <sz val="11"/>
        <rFont val="Calibri"/>
        <family val="2"/>
      </rPr>
      <t>(CN167)</t>
    </r>
  </si>
  <si>
    <t>805-1</t>
  </si>
  <si>
    <t>PROCESSAMENTO DE TUBOS</t>
  </si>
  <si>
    <t>1 / 1</t>
  </si>
  <si>
    <t>Corte Tubos</t>
  </si>
  <si>
    <t>CIRC</t>
  </si>
  <si>
    <t>QUANT.</t>
  </si>
  <si>
    <t>DESCRIÇÃO ACABAMENTO</t>
  </si>
  <si>
    <t>TRECHO</t>
  </si>
  <si>
    <t>CMH01</t>
  </si>
  <si>
    <t>TBRET04PRCC</t>
  </si>
  <si>
    <t>17 PEÇAS</t>
  </si>
  <si>
    <t xml:space="preserve"> TUBO T-RETRATIL 4 mm (C/ Cola) 125° C PR </t>
  </si>
  <si>
    <t>BONDER SP36 / SP29 /  SP36 /  SP24 /SP37 / SP38 / SP39 / SP27 / SP25 / SP10 / SP69 / SP21/SP20 /SP15  / SP14  /SP15 / SP16</t>
  </si>
  <si>
    <t>CMH02</t>
  </si>
  <si>
    <t>TBRET03PRCC</t>
  </si>
  <si>
    <t>15 PEÇAS</t>
  </si>
  <si>
    <t xml:space="preserve"> TUBO T-RETRATIL 3 mm (C/ Cola) 125° C PR </t>
  </si>
  <si>
    <t>SPLICE SP57 / SP58 / SP63 / SP64 / SP59 / SP60 / SP65 / SP66 / SP67 / SP23 / SP68 / SP18 / SP71 /SP70/ SP6</t>
  </si>
  <si>
    <t>CMH03</t>
  </si>
  <si>
    <t>TBRET06PRCC</t>
  </si>
  <si>
    <t>6 PEÇAS</t>
  </si>
  <si>
    <t xml:space="preserve"> TUBO T-RETRATIL 6 mm (C/ Cola) 125° C PR </t>
  </si>
  <si>
    <t>BONDER SP35 /SP22 / SP19 / SP31 / SP13 / SP12</t>
  </si>
  <si>
    <t>CMH04</t>
  </si>
  <si>
    <t>TBRET12PRCC</t>
  </si>
  <si>
    <t>5 PEÇAS</t>
  </si>
  <si>
    <t xml:space="preserve"> TUBO T-RETRATIL 12 mm (C/ Cola) 125° C PR </t>
  </si>
  <si>
    <t>BONDER SP34 / SP24 / SP11 / SP29 / SP10</t>
  </si>
  <si>
    <t>CMH05</t>
  </si>
  <si>
    <t>2 PEÇAS</t>
  </si>
  <si>
    <t>CMH06</t>
  </si>
  <si>
    <t>3 PEÇAS</t>
  </si>
  <si>
    <t>CMH07</t>
  </si>
  <si>
    <t>TBCGNW25SC</t>
  </si>
  <si>
    <t>1 PEÇA</t>
  </si>
  <si>
    <t>CONDUITE CORRUGADO NW 23mm (S / CORTE) - PR</t>
  </si>
  <si>
    <t>CN4B</t>
  </si>
  <si>
    <t>CMH08</t>
  </si>
  <si>
    <t>TBCGNW10SC</t>
  </si>
  <si>
    <t>CONDUITE CORRUGADO NW 10mm (S / CORTE) - PR</t>
  </si>
  <si>
    <t>CN9A / CN13A</t>
  </si>
  <si>
    <t>CMH09</t>
  </si>
  <si>
    <t>TBCGNW13SC</t>
  </si>
  <si>
    <t>CONDUITE CORRUGADO NW 13mm (S / CORTE) - PR</t>
  </si>
  <si>
    <t>CN8B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</si>
</sst>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>
    <font>
      <sz val="10"/>
      <name val="Arial"/>
    </font>
    <font>
      <sz val="1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8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7" borderId="8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49" fontId="2" fillId="7" borderId="9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49" fontId="2" fillId="9" borderId="4" xfId="0" applyNumberFormat="1" applyFont="1" applyFill="1" applyBorder="1" applyAlignment="1">
      <alignment horizontal="center" vertical="center" wrapText="1"/>
    </xf>
    <xf numFmtId="49" fontId="2" fillId="10" borderId="3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/>
    </xf>
    <xf numFmtId="49" fontId="2" fillId="10" borderId="4" xfId="0" applyNumberFormat="1" applyFont="1" applyFill="1" applyBorder="1" applyAlignment="1">
      <alignment horizontal="center" vertical="center" wrapText="1"/>
    </xf>
    <xf numFmtId="49" fontId="2" fillId="11" borderId="3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/>
    </xf>
    <xf numFmtId="49" fontId="2" fillId="11" borderId="4" xfId="0" applyNumberFormat="1" applyFont="1" applyFill="1" applyBorder="1" applyAlignment="1">
      <alignment horizontal="center" vertical="center" wrapText="1"/>
    </xf>
    <xf numFmtId="49" fontId="2" fillId="12" borderId="3" xfId="0" applyNumberFormat="1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49" fontId="2" fillId="12" borderId="4" xfId="0" applyNumberFormat="1" applyFont="1" applyFill="1" applyBorder="1" applyAlignment="1">
      <alignment horizontal="center" vertical="center" wrapText="1"/>
    </xf>
    <xf numFmtId="49" fontId="2" fillId="13" borderId="3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/>
    </xf>
    <xf numFmtId="49" fontId="2" fillId="13" borderId="4" xfId="0" applyNumberFormat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49" fontId="2" fillId="14" borderId="3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/>
    </xf>
    <xf numFmtId="49" fontId="2" fillId="14" borderId="4" xfId="0" applyNumberFormat="1" applyFont="1" applyFill="1" applyBorder="1" applyAlignment="1">
      <alignment horizontal="center" vertical="center" wrapText="1"/>
    </xf>
    <xf numFmtId="49" fontId="2" fillId="14" borderId="3" xfId="0" applyNumberFormat="1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 wrapText="1"/>
    </xf>
    <xf numFmtId="49" fontId="2" fillId="12" borderId="9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/>
    </xf>
    <xf numFmtId="49" fontId="2" fillId="12" borderId="33" xfId="0" applyNumberFormat="1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49" fontId="2" fillId="12" borderId="34" xfId="0" applyNumberFormat="1" applyFont="1" applyFill="1" applyBorder="1" applyAlignment="1">
      <alignment horizontal="center" vertical="center" wrapText="1"/>
    </xf>
    <xf numFmtId="49" fontId="2" fillId="12" borderId="35" xfId="0" applyNumberFormat="1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/>
    </xf>
    <xf numFmtId="49" fontId="2" fillId="15" borderId="3" xfId="0" applyNumberFormat="1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/>
    </xf>
    <xf numFmtId="49" fontId="2" fillId="15" borderId="4" xfId="0" applyNumberFormat="1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/>
    </xf>
    <xf numFmtId="49" fontId="2" fillId="16" borderId="3" xfId="0" applyNumberFormat="1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49" fontId="2" fillId="16" borderId="4" xfId="0" applyNumberFormat="1" applyFont="1" applyFill="1" applyBorder="1" applyAlignment="1">
      <alignment horizontal="center" vertical="center" wrapText="1"/>
    </xf>
    <xf numFmtId="49" fontId="2" fillId="16" borderId="3" xfId="0" applyNumberFormat="1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/>
    </xf>
    <xf numFmtId="49" fontId="2" fillId="17" borderId="3" xfId="0" applyNumberFormat="1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49" fontId="2" fillId="17" borderId="4" xfId="0" applyNumberFormat="1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49" fontId="2" fillId="18" borderId="3" xfId="0" applyNumberFormat="1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49" fontId="2" fillId="18" borderId="4" xfId="0" applyNumberFormat="1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49" fontId="2" fillId="5" borderId="33" xfId="0" applyNumberFormat="1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2" fillId="5" borderId="34" xfId="0" applyNumberFormat="1" applyFont="1" applyFill="1" applyBorder="1" applyAlignment="1">
      <alignment horizontal="center" vertical="center" wrapText="1"/>
    </xf>
    <xf numFmtId="49" fontId="2" fillId="5" borderId="35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49" fontId="2" fillId="10" borderId="9" xfId="0" applyNumberFormat="1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/>
    </xf>
    <xf numFmtId="49" fontId="2" fillId="19" borderId="34" xfId="0" applyNumberFormat="1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/>
    </xf>
    <xf numFmtId="49" fontId="2" fillId="16" borderId="34" xfId="0" applyNumberFormat="1" applyFont="1" applyFill="1" applyBorder="1" applyAlignment="1">
      <alignment horizontal="center" vertical="center" wrapText="1"/>
    </xf>
    <xf numFmtId="0" fontId="2" fillId="16" borderId="34" xfId="0" applyFont="1" applyFill="1" applyBorder="1" applyAlignment="1">
      <alignment horizontal="center" vertical="center"/>
    </xf>
    <xf numFmtId="49" fontId="7" fillId="16" borderId="4" xfId="0" applyNumberFormat="1" applyFont="1" applyFill="1" applyBorder="1" applyAlignment="1">
      <alignment horizontal="center" vertical="center" wrapText="1"/>
    </xf>
    <xf numFmtId="49" fontId="7" fillId="7" borderId="4" xfId="0" applyNumberFormat="1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/>
    </xf>
    <xf numFmtId="49" fontId="2" fillId="13" borderId="34" xfId="0" applyNumberFormat="1" applyFont="1" applyFill="1" applyBorder="1" applyAlignment="1">
      <alignment horizontal="center" vertical="center" wrapText="1"/>
    </xf>
    <xf numFmtId="49" fontId="2" fillId="11" borderId="34" xfId="0" applyNumberFormat="1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49" fontId="7" fillId="11" borderId="4" xfId="0" applyNumberFormat="1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11" borderId="33" xfId="0" applyNumberFormat="1" applyFont="1" applyFill="1" applyBorder="1" applyAlignment="1">
      <alignment horizontal="center" vertical="center"/>
    </xf>
    <xf numFmtId="49" fontId="2" fillId="11" borderId="35" xfId="0" applyNumberFormat="1" applyFont="1" applyFill="1" applyBorder="1" applyAlignment="1">
      <alignment horizontal="center" vertical="center" wrapText="1"/>
    </xf>
    <xf numFmtId="49" fontId="2" fillId="11" borderId="9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49" fontId="2" fillId="8" borderId="34" xfId="0" applyNumberFormat="1" applyFont="1" applyFill="1" applyBorder="1" applyAlignment="1">
      <alignment horizontal="center" vertical="center" wrapText="1"/>
    </xf>
    <xf numFmtId="49" fontId="2" fillId="10" borderId="34" xfId="0" applyNumberFormat="1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center" vertical="center"/>
    </xf>
    <xf numFmtId="49" fontId="7" fillId="10" borderId="4" xfId="0" applyNumberFormat="1" applyFont="1" applyFill="1" applyBorder="1" applyAlignment="1">
      <alignment horizontal="center" vertical="center" wrapText="1"/>
    </xf>
    <xf numFmtId="49" fontId="2" fillId="11" borderId="3" xfId="0" applyNumberFormat="1" applyFont="1" applyFill="1" applyBorder="1" applyAlignment="1">
      <alignment horizontal="center" vertical="center"/>
    </xf>
    <xf numFmtId="49" fontId="2" fillId="20" borderId="3" xfId="0" applyNumberFormat="1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/>
    </xf>
    <xf numFmtId="49" fontId="2" fillId="20" borderId="4" xfId="0" applyNumberFormat="1" applyFont="1" applyFill="1" applyBorder="1" applyAlignment="1">
      <alignment horizontal="center" vertical="center" wrapText="1"/>
    </xf>
    <xf numFmtId="49" fontId="2" fillId="9" borderId="3" xfId="0" applyNumberFormat="1" applyFont="1" applyFill="1" applyBorder="1" applyAlignment="1">
      <alignment horizontal="center" vertical="center"/>
    </xf>
    <xf numFmtId="49" fontId="2" fillId="10" borderId="33" xfId="0" applyNumberFormat="1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center" vertical="center" wrapText="1"/>
    </xf>
    <xf numFmtId="49" fontId="2" fillId="10" borderId="35" xfId="0" applyNumberFormat="1" applyFont="1" applyFill="1" applyBorder="1" applyAlignment="1">
      <alignment horizontal="center" vertical="center" wrapText="1"/>
    </xf>
    <xf numFmtId="49" fontId="7" fillId="9" borderId="4" xfId="0" applyNumberFormat="1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2" fillId="20" borderId="9" xfId="0" applyFont="1" applyFill="1" applyBorder="1" applyAlignment="1">
      <alignment horizontal="center" vertical="center"/>
    </xf>
    <xf numFmtId="49" fontId="2" fillId="20" borderId="3" xfId="0" applyNumberFormat="1" applyFont="1" applyFill="1" applyBorder="1" applyAlignment="1">
      <alignment horizontal="center" vertical="center"/>
    </xf>
    <xf numFmtId="49" fontId="2" fillId="8" borderId="33" xfId="0" applyNumberFormat="1" applyFont="1" applyFill="1" applyBorder="1" applyAlignment="1">
      <alignment horizontal="center" vertical="center" wrapText="1"/>
    </xf>
    <xf numFmtId="0" fontId="2" fillId="8" borderId="34" xfId="0" applyFont="1" applyFill="1" applyBorder="1" applyAlignment="1">
      <alignment horizontal="center" vertical="center" wrapText="1"/>
    </xf>
    <xf numFmtId="49" fontId="2" fillId="8" borderId="35" xfId="0" applyNumberFormat="1" applyFont="1" applyFill="1" applyBorder="1" applyAlignment="1">
      <alignment horizontal="center" vertical="center" wrapText="1"/>
    </xf>
    <xf numFmtId="49" fontId="7" fillId="12" borderId="4" xfId="0" applyNumberFormat="1" applyFont="1" applyFill="1" applyBorder="1" applyAlignment="1">
      <alignment horizontal="center" vertical="center" wrapText="1"/>
    </xf>
    <xf numFmtId="49" fontId="2" fillId="11" borderId="33" xfId="0" applyNumberFormat="1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49" fontId="2" fillId="6" borderId="34" xfId="0" applyNumberFormat="1" applyFont="1" applyFill="1" applyBorder="1" applyAlignment="1">
      <alignment horizontal="center" vertical="center" wrapText="1"/>
    </xf>
    <xf numFmtId="49" fontId="2" fillId="6" borderId="9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49" fontId="2" fillId="20" borderId="9" xfId="0" applyNumberFormat="1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/>
    </xf>
    <xf numFmtId="49" fontId="2" fillId="9" borderId="34" xfId="0" applyNumberFormat="1" applyFont="1" applyFill="1" applyBorder="1" applyAlignment="1">
      <alignment horizontal="center" vertical="center" wrapText="1"/>
    </xf>
    <xf numFmtId="49" fontId="2" fillId="19" borderId="33" xfId="0" applyNumberFormat="1" applyFont="1" applyFill="1" applyBorder="1" applyAlignment="1">
      <alignment horizontal="center" vertical="center" wrapText="1"/>
    </xf>
    <xf numFmtId="0" fontId="2" fillId="19" borderId="34" xfId="0" applyFont="1" applyFill="1" applyBorder="1" applyAlignment="1">
      <alignment horizontal="center" vertical="center" wrapText="1"/>
    </xf>
    <xf numFmtId="0" fontId="2" fillId="19" borderId="34" xfId="0" applyFont="1" applyFill="1" applyBorder="1" applyAlignment="1">
      <alignment horizontal="center" vertical="center"/>
    </xf>
    <xf numFmtId="49" fontId="2" fillId="19" borderId="35" xfId="0" applyNumberFormat="1" applyFont="1" applyFill="1" applyBorder="1" applyAlignment="1">
      <alignment horizontal="center" vertical="center" wrapText="1"/>
    </xf>
    <xf numFmtId="49" fontId="2" fillId="19" borderId="3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49" fontId="2" fillId="19" borderId="4" xfId="0" applyNumberFormat="1" applyFont="1" applyFill="1" applyBorder="1" applyAlignment="1">
      <alignment horizontal="center" vertical="center" wrapText="1"/>
    </xf>
    <xf numFmtId="49" fontId="2" fillId="19" borderId="9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49" fontId="2" fillId="20" borderId="33" xfId="0" applyNumberFormat="1" applyFont="1" applyFill="1" applyBorder="1" applyAlignment="1">
      <alignment horizontal="center" vertical="center" wrapText="1"/>
    </xf>
    <xf numFmtId="0" fontId="2" fillId="20" borderId="34" xfId="0" applyFont="1" applyFill="1" applyBorder="1" applyAlignment="1">
      <alignment horizontal="center" vertical="center" wrapText="1"/>
    </xf>
    <xf numFmtId="49" fontId="7" fillId="20" borderId="4" xfId="0" applyNumberFormat="1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5" borderId="27" xfId="0" applyFont="1" applyFill="1" applyBorder="1" applyAlignment="1">
      <alignment horizontal="left" vertical="center"/>
    </xf>
    <xf numFmtId="0" fontId="7" fillId="5" borderId="28" xfId="0" applyFont="1" applyFill="1" applyBorder="1" applyAlignment="1">
      <alignment horizontal="left" vertical="center"/>
    </xf>
    <xf numFmtId="0" fontId="7" fillId="5" borderId="29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16288B-A737-4E4A-8ACE-D33228B7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049272-7425-435C-BBC2-234343977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0D7968-7C2B-4FD2-8780-8F44DFDA2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3F27E2-F556-4848-A2A6-DCC7ACF3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B9CB83-3473-453C-8130-883AF0A6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675A20-B32C-4294-BBB0-B4475F435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D920B9-4192-4257-9A78-97D512B9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807A4A-39D5-47D1-9FD5-2D509E331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8652F5-69C5-48AF-8F0D-351FFFA7B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333375</xdr:colOff>
      <xdr:row>1</xdr:row>
      <xdr:rowOff>362551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A6211E-34F0-48B7-BA96-BC29EE30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8100"/>
          <a:ext cx="1000125" cy="5721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466725</xdr:colOff>
      <xdr:row>1</xdr:row>
      <xdr:rowOff>362551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2BA366-6116-4371-923D-732612BD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019175" cy="572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tabSelected="1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2.7109375" style="4" bestFit="1" customWidth="1"/>
    <col min="7" max="7" width="22.28515625" style="4" bestFit="1" customWidth="1"/>
    <col min="8" max="8" width="20.42578125" style="4" customWidth="1"/>
    <col min="9" max="9" width="14.85546875" style="4" bestFit="1" customWidth="1"/>
    <col min="10" max="10" width="9.28515625" style="4" bestFit="1" customWidth="1"/>
    <col min="11" max="11" width="20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11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40" t="s">
        <v>26</v>
      </c>
      <c r="B6" s="27" t="s">
        <v>27</v>
      </c>
      <c r="C6" s="28" t="s">
        <v>28</v>
      </c>
      <c r="D6" s="29" t="s">
        <v>29</v>
      </c>
      <c r="E6" s="30" t="s">
        <v>30</v>
      </c>
      <c r="F6" s="31" t="s">
        <v>31</v>
      </c>
      <c r="G6" s="29" t="s">
        <v>32</v>
      </c>
      <c r="H6" s="29" t="s">
        <v>33</v>
      </c>
      <c r="I6" s="30" t="s">
        <v>34</v>
      </c>
      <c r="J6" s="31" t="s">
        <v>35</v>
      </c>
      <c r="K6" s="29" t="s">
        <v>36</v>
      </c>
      <c r="L6" s="32" t="s">
        <v>37</v>
      </c>
    </row>
    <row r="7" spans="1:12" ht="19.899999999999999" customHeight="1">
      <c r="A7" s="41" t="s">
        <v>38</v>
      </c>
      <c r="B7" s="192">
        <v>130</v>
      </c>
      <c r="C7" s="42" t="s">
        <v>39</v>
      </c>
      <c r="D7" s="43" t="s">
        <v>40</v>
      </c>
      <c r="E7" s="43" t="s">
        <v>41</v>
      </c>
      <c r="F7" s="43" t="s">
        <v>42</v>
      </c>
      <c r="G7" s="43" t="s">
        <v>43</v>
      </c>
      <c r="H7" s="43" t="s">
        <v>44</v>
      </c>
      <c r="I7" s="43" t="s">
        <v>45</v>
      </c>
      <c r="J7" s="43" t="s">
        <v>46</v>
      </c>
      <c r="K7" s="43" t="s">
        <v>47</v>
      </c>
      <c r="L7" s="44" t="s">
        <v>48</v>
      </c>
    </row>
    <row r="8" spans="1:12" ht="19.899999999999999" customHeight="1">
      <c r="A8" s="45" t="s">
        <v>49</v>
      </c>
      <c r="B8" s="193">
        <v>130</v>
      </c>
      <c r="C8" s="46" t="s">
        <v>39</v>
      </c>
      <c r="D8" s="47" t="s">
        <v>50</v>
      </c>
      <c r="E8" s="47" t="s">
        <v>41</v>
      </c>
      <c r="F8" s="47" t="s">
        <v>51</v>
      </c>
      <c r="G8" s="47" t="s">
        <v>43</v>
      </c>
      <c r="H8" s="47" t="s">
        <v>44</v>
      </c>
      <c r="I8" s="47" t="s">
        <v>45</v>
      </c>
      <c r="J8" s="47" t="s">
        <v>46</v>
      </c>
      <c r="K8" s="47" t="s">
        <v>47</v>
      </c>
      <c r="L8" s="48" t="s">
        <v>48</v>
      </c>
    </row>
    <row r="9" spans="1:12" ht="19.899999999999999" customHeight="1">
      <c r="A9" s="45" t="s">
        <v>52</v>
      </c>
      <c r="B9" s="194">
        <v>130</v>
      </c>
      <c r="C9" s="49" t="s">
        <v>39</v>
      </c>
      <c r="D9" s="47" t="s">
        <v>50</v>
      </c>
      <c r="E9" s="47" t="s">
        <v>41</v>
      </c>
      <c r="F9" s="47" t="s">
        <v>53</v>
      </c>
      <c r="G9" s="47" t="s">
        <v>43</v>
      </c>
      <c r="H9" s="47" t="s">
        <v>44</v>
      </c>
      <c r="I9" s="47" t="s">
        <v>45</v>
      </c>
      <c r="J9" s="47" t="s">
        <v>46</v>
      </c>
      <c r="K9" s="47" t="s">
        <v>47</v>
      </c>
      <c r="L9" s="50" t="s">
        <v>48</v>
      </c>
    </row>
    <row r="10" spans="1:12" ht="19.899999999999999" customHeight="1">
      <c r="A10" s="45" t="s">
        <v>54</v>
      </c>
      <c r="B10" s="193">
        <v>130</v>
      </c>
      <c r="C10" s="49" t="s">
        <v>39</v>
      </c>
      <c r="D10" s="47" t="s">
        <v>50</v>
      </c>
      <c r="E10" s="47" t="s">
        <v>41</v>
      </c>
      <c r="F10" s="47" t="s">
        <v>55</v>
      </c>
      <c r="G10" s="47" t="s">
        <v>43</v>
      </c>
      <c r="H10" s="47" t="s">
        <v>44</v>
      </c>
      <c r="I10" s="47" t="s">
        <v>45</v>
      </c>
      <c r="J10" s="47" t="s">
        <v>46</v>
      </c>
      <c r="K10" s="47" t="s">
        <v>47</v>
      </c>
      <c r="L10" s="50" t="s">
        <v>48</v>
      </c>
    </row>
    <row r="11" spans="1:12" ht="19.899999999999999" customHeight="1">
      <c r="A11" s="45" t="s">
        <v>56</v>
      </c>
      <c r="B11" s="194">
        <v>130</v>
      </c>
      <c r="C11" s="49" t="s">
        <v>39</v>
      </c>
      <c r="D11" s="47" t="s">
        <v>50</v>
      </c>
      <c r="E11" s="47" t="s">
        <v>41</v>
      </c>
      <c r="F11" s="47" t="s">
        <v>57</v>
      </c>
      <c r="G11" s="47" t="s">
        <v>43</v>
      </c>
      <c r="H11" s="47" t="s">
        <v>44</v>
      </c>
      <c r="I11" s="47" t="s">
        <v>45</v>
      </c>
      <c r="J11" s="47" t="s">
        <v>46</v>
      </c>
      <c r="K11" s="47" t="s">
        <v>47</v>
      </c>
      <c r="L11" s="50" t="s">
        <v>48</v>
      </c>
    </row>
    <row r="12" spans="1:12" ht="19.899999999999999" customHeight="1">
      <c r="A12" s="45" t="s">
        <v>58</v>
      </c>
      <c r="B12" s="193">
        <v>100</v>
      </c>
      <c r="C12" s="49" t="s">
        <v>39</v>
      </c>
      <c r="D12" s="47" t="s">
        <v>50</v>
      </c>
      <c r="E12" s="47" t="s">
        <v>41</v>
      </c>
      <c r="F12" s="47" t="s">
        <v>59</v>
      </c>
      <c r="G12" s="47" t="s">
        <v>43</v>
      </c>
      <c r="H12" s="47" t="s">
        <v>44</v>
      </c>
      <c r="I12" s="47" t="s">
        <v>45</v>
      </c>
      <c r="J12" s="47" t="s">
        <v>46</v>
      </c>
      <c r="K12" s="47" t="s">
        <v>47</v>
      </c>
      <c r="L12" s="50" t="s">
        <v>48</v>
      </c>
    </row>
    <row r="13" spans="1:12" ht="19.5" customHeight="1">
      <c r="A13" s="45" t="s">
        <v>60</v>
      </c>
      <c r="B13" s="194">
        <v>390</v>
      </c>
      <c r="C13" s="49" t="s">
        <v>39</v>
      </c>
      <c r="D13" s="47" t="s">
        <v>44</v>
      </c>
      <c r="E13" s="47" t="s">
        <v>45</v>
      </c>
      <c r="F13" s="47" t="s">
        <v>46</v>
      </c>
      <c r="G13" s="47" t="s">
        <v>47</v>
      </c>
      <c r="H13" s="49" t="s">
        <v>61</v>
      </c>
      <c r="I13" s="49" t="s">
        <v>41</v>
      </c>
      <c r="J13" s="49" t="s">
        <v>62</v>
      </c>
      <c r="K13" s="49" t="s">
        <v>63</v>
      </c>
      <c r="L13" s="50"/>
    </row>
    <row r="14" spans="1:12" ht="19.899999999999999" customHeight="1">
      <c r="A14" s="45" t="s">
        <v>64</v>
      </c>
      <c r="B14" s="49">
        <v>970</v>
      </c>
      <c r="C14" s="49" t="s">
        <v>65</v>
      </c>
      <c r="D14" s="47" t="s">
        <v>44</v>
      </c>
      <c r="E14" s="47" t="s">
        <v>45</v>
      </c>
      <c r="F14" s="47" t="s">
        <v>46</v>
      </c>
      <c r="G14" s="47" t="s">
        <v>47</v>
      </c>
      <c r="H14" s="51" t="s">
        <v>44</v>
      </c>
      <c r="I14" s="51" t="s">
        <v>45</v>
      </c>
      <c r="J14" s="51" t="s">
        <v>46</v>
      </c>
      <c r="K14" s="51" t="s">
        <v>66</v>
      </c>
      <c r="L14" s="52"/>
    </row>
    <row r="15" spans="1:12" ht="19.899999999999999" customHeight="1">
      <c r="A15" s="53" t="s">
        <v>67</v>
      </c>
      <c r="B15" s="54">
        <v>970</v>
      </c>
      <c r="C15" s="54" t="s">
        <v>39</v>
      </c>
      <c r="D15" s="54" t="s">
        <v>68</v>
      </c>
      <c r="E15" s="54" t="s">
        <v>41</v>
      </c>
      <c r="F15" s="54">
        <v>1</v>
      </c>
      <c r="G15" s="54" t="s">
        <v>69</v>
      </c>
      <c r="H15" s="51" t="s">
        <v>44</v>
      </c>
      <c r="I15" s="51" t="s">
        <v>45</v>
      </c>
      <c r="J15" s="51" t="s">
        <v>46</v>
      </c>
      <c r="K15" s="51" t="s">
        <v>66</v>
      </c>
      <c r="L15" s="52"/>
    </row>
    <row r="16" spans="1:12" ht="19.899999999999999" customHeight="1">
      <c r="A16" s="55" t="s">
        <v>70</v>
      </c>
      <c r="B16" s="56">
        <v>900</v>
      </c>
      <c r="C16" s="56" t="s">
        <v>71</v>
      </c>
      <c r="D16" s="57" t="s">
        <v>44</v>
      </c>
      <c r="E16" s="57" t="s">
        <v>45</v>
      </c>
      <c r="F16" s="57" t="s">
        <v>46</v>
      </c>
      <c r="G16" s="57" t="s">
        <v>72</v>
      </c>
      <c r="H16" s="51" t="s">
        <v>44</v>
      </c>
      <c r="I16" s="51" t="s">
        <v>45</v>
      </c>
      <c r="J16" s="51" t="s">
        <v>46</v>
      </c>
      <c r="K16" s="51" t="s">
        <v>66</v>
      </c>
      <c r="L16" s="52"/>
    </row>
    <row r="17" spans="1:12" ht="19.899999999999999" customHeight="1">
      <c r="A17" s="58" t="s">
        <v>73</v>
      </c>
      <c r="B17" s="59">
        <v>170</v>
      </c>
      <c r="C17" s="59" t="s">
        <v>65</v>
      </c>
      <c r="D17" s="60" t="s">
        <v>44</v>
      </c>
      <c r="E17" s="60" t="s">
        <v>45</v>
      </c>
      <c r="F17" s="60" t="s">
        <v>46</v>
      </c>
      <c r="G17" s="60" t="s">
        <v>74</v>
      </c>
      <c r="H17" s="51" t="s">
        <v>44</v>
      </c>
      <c r="I17" s="51" t="s">
        <v>45</v>
      </c>
      <c r="J17" s="51" t="s">
        <v>46</v>
      </c>
      <c r="K17" s="51" t="s">
        <v>66</v>
      </c>
      <c r="L17" s="52"/>
    </row>
    <row r="18" spans="1:12" ht="19.899999999999999" customHeight="1">
      <c r="A18" s="73" t="s">
        <v>75</v>
      </c>
      <c r="B18" s="74">
        <v>1200</v>
      </c>
      <c r="C18" s="74" t="s">
        <v>76</v>
      </c>
      <c r="D18" s="75" t="s">
        <v>44</v>
      </c>
      <c r="E18" s="75" t="s">
        <v>45</v>
      </c>
      <c r="F18" s="75" t="s">
        <v>46</v>
      </c>
      <c r="G18" s="75" t="s">
        <v>77</v>
      </c>
      <c r="H18" s="51" t="s">
        <v>44</v>
      </c>
      <c r="I18" s="51" t="s">
        <v>45</v>
      </c>
      <c r="J18" s="51" t="s">
        <v>46</v>
      </c>
      <c r="K18" s="51" t="s">
        <v>66</v>
      </c>
      <c r="L18" s="52"/>
    </row>
    <row r="19" spans="1:12" ht="19.899999999999999" customHeight="1">
      <c r="A19" s="64" t="s">
        <v>78</v>
      </c>
      <c r="B19" s="65">
        <v>690</v>
      </c>
      <c r="C19" s="65" t="s">
        <v>39</v>
      </c>
      <c r="D19" s="66" t="s">
        <v>44</v>
      </c>
      <c r="E19" s="66" t="s">
        <v>45</v>
      </c>
      <c r="F19" s="66" t="s">
        <v>46</v>
      </c>
      <c r="G19" s="66" t="s">
        <v>79</v>
      </c>
      <c r="H19" s="51" t="s">
        <v>44</v>
      </c>
      <c r="I19" s="51" t="s">
        <v>45</v>
      </c>
      <c r="J19" s="51" t="s">
        <v>46</v>
      </c>
      <c r="K19" s="51" t="s">
        <v>66</v>
      </c>
      <c r="L19" s="52"/>
    </row>
    <row r="20" spans="1:12" ht="19.899999999999999" customHeight="1">
      <c r="A20" s="67" t="s">
        <v>80</v>
      </c>
      <c r="B20" s="68">
        <v>690</v>
      </c>
      <c r="C20" s="68" t="s">
        <v>39</v>
      </c>
      <c r="D20" s="69" t="s">
        <v>44</v>
      </c>
      <c r="E20" s="69" t="s">
        <v>45</v>
      </c>
      <c r="F20" s="69" t="s">
        <v>46</v>
      </c>
      <c r="G20" s="69" t="s">
        <v>81</v>
      </c>
      <c r="H20" s="51" t="s">
        <v>44</v>
      </c>
      <c r="I20" s="51" t="s">
        <v>45</v>
      </c>
      <c r="J20" s="51" t="s">
        <v>46</v>
      </c>
      <c r="K20" s="51" t="s">
        <v>66</v>
      </c>
      <c r="L20" s="52"/>
    </row>
    <row r="21" spans="1:12" ht="19.899999999999999" customHeight="1">
      <c r="A21" s="92" t="s">
        <v>82</v>
      </c>
      <c r="B21" s="93">
        <v>1000</v>
      </c>
      <c r="C21" s="93" t="s">
        <v>65</v>
      </c>
      <c r="D21" s="94" t="s">
        <v>44</v>
      </c>
      <c r="E21" s="94" t="s">
        <v>45</v>
      </c>
      <c r="F21" s="94" t="s">
        <v>46</v>
      </c>
      <c r="G21" s="94" t="s">
        <v>83</v>
      </c>
      <c r="H21" s="51" t="s">
        <v>44</v>
      </c>
      <c r="I21" s="51" t="s">
        <v>45</v>
      </c>
      <c r="J21" s="51" t="s">
        <v>46</v>
      </c>
      <c r="K21" s="51" t="s">
        <v>66</v>
      </c>
      <c r="L21" s="52"/>
    </row>
    <row r="22" spans="1:12" ht="19.899999999999999" customHeight="1">
      <c r="A22" s="53" t="s">
        <v>84</v>
      </c>
      <c r="B22" s="54">
        <v>430</v>
      </c>
      <c r="C22" s="54" t="s">
        <v>85</v>
      </c>
      <c r="D22" s="51" t="s">
        <v>44</v>
      </c>
      <c r="E22" s="51" t="s">
        <v>45</v>
      </c>
      <c r="F22" s="51" t="s">
        <v>46</v>
      </c>
      <c r="G22" s="51" t="s">
        <v>66</v>
      </c>
      <c r="H22" s="54" t="s">
        <v>86</v>
      </c>
      <c r="I22" s="54" t="s">
        <v>87</v>
      </c>
      <c r="J22" s="54" t="s">
        <v>46</v>
      </c>
      <c r="K22" s="54" t="s">
        <v>88</v>
      </c>
      <c r="L22" s="52"/>
    </row>
    <row r="23" spans="1:12" ht="19.899999999999999" customHeight="1">
      <c r="A23" s="55" t="s">
        <v>89</v>
      </c>
      <c r="B23" s="56">
        <v>360</v>
      </c>
      <c r="C23" s="56" t="s">
        <v>39</v>
      </c>
      <c r="D23" s="56" t="s">
        <v>90</v>
      </c>
      <c r="E23" s="56" t="s">
        <v>91</v>
      </c>
      <c r="F23" s="56">
        <v>1</v>
      </c>
      <c r="G23" s="56" t="s">
        <v>92</v>
      </c>
      <c r="H23" s="57" t="s">
        <v>44</v>
      </c>
      <c r="I23" s="57" t="s">
        <v>45</v>
      </c>
      <c r="J23" s="57" t="s">
        <v>46</v>
      </c>
      <c r="K23" s="57" t="s">
        <v>72</v>
      </c>
      <c r="L23" s="70"/>
    </row>
    <row r="24" spans="1:12" ht="19.899999999999999" customHeight="1">
      <c r="A24" s="55" t="s">
        <v>93</v>
      </c>
      <c r="B24" s="56">
        <v>360</v>
      </c>
      <c r="C24" s="56" t="s">
        <v>71</v>
      </c>
      <c r="D24" s="56" t="s">
        <v>94</v>
      </c>
      <c r="E24" s="56" t="s">
        <v>41</v>
      </c>
      <c r="F24" s="56">
        <v>1</v>
      </c>
      <c r="G24" s="56" t="s">
        <v>95</v>
      </c>
      <c r="H24" s="57" t="s">
        <v>44</v>
      </c>
      <c r="I24" s="57" t="s">
        <v>45</v>
      </c>
      <c r="J24" s="57" t="s">
        <v>46</v>
      </c>
      <c r="K24" s="57" t="s">
        <v>72</v>
      </c>
      <c r="L24" s="70"/>
    </row>
    <row r="25" spans="1:12" ht="19.899999999999999" customHeight="1">
      <c r="A25" s="73" t="s">
        <v>96</v>
      </c>
      <c r="B25" s="74">
        <v>240</v>
      </c>
      <c r="C25" s="74" t="s">
        <v>65</v>
      </c>
      <c r="D25" s="75" t="s">
        <v>44</v>
      </c>
      <c r="E25" s="75" t="s">
        <v>45</v>
      </c>
      <c r="F25" s="75" t="s">
        <v>46</v>
      </c>
      <c r="G25" s="75" t="s">
        <v>77</v>
      </c>
      <c r="H25" s="71" t="s">
        <v>44</v>
      </c>
      <c r="I25" s="71" t="s">
        <v>45</v>
      </c>
      <c r="J25" s="71" t="s">
        <v>46</v>
      </c>
      <c r="K25" s="71" t="s">
        <v>97</v>
      </c>
      <c r="L25" s="72"/>
    </row>
    <row r="26" spans="1:12" ht="19.899999999999999" customHeight="1">
      <c r="A26" s="76" t="s">
        <v>98</v>
      </c>
      <c r="B26" s="74">
        <v>1480</v>
      </c>
      <c r="C26" s="74" t="s">
        <v>39</v>
      </c>
      <c r="D26" s="74" t="s">
        <v>68</v>
      </c>
      <c r="E26" s="74" t="s">
        <v>41</v>
      </c>
      <c r="F26" s="74">
        <v>1</v>
      </c>
      <c r="G26" s="74" t="s">
        <v>99</v>
      </c>
      <c r="H26" s="75" t="s">
        <v>44</v>
      </c>
      <c r="I26" s="75" t="s">
        <v>45</v>
      </c>
      <c r="J26" s="75" t="s">
        <v>46</v>
      </c>
      <c r="K26" s="75" t="s">
        <v>77</v>
      </c>
      <c r="L26" s="77"/>
    </row>
    <row r="27" spans="1:12" ht="19.899999999999999" customHeight="1">
      <c r="A27" s="76" t="s">
        <v>100</v>
      </c>
      <c r="B27" s="74">
        <v>1320</v>
      </c>
      <c r="C27" s="74" t="s">
        <v>39</v>
      </c>
      <c r="D27" s="74" t="s">
        <v>68</v>
      </c>
      <c r="E27" s="74" t="s">
        <v>41</v>
      </c>
      <c r="F27" s="74">
        <v>1</v>
      </c>
      <c r="G27" s="74" t="s">
        <v>101</v>
      </c>
      <c r="H27" s="75" t="s">
        <v>44</v>
      </c>
      <c r="I27" s="75" t="s">
        <v>45</v>
      </c>
      <c r="J27" s="75" t="s">
        <v>46</v>
      </c>
      <c r="K27" s="75" t="s">
        <v>77</v>
      </c>
      <c r="L27" s="77"/>
    </row>
    <row r="28" spans="1:12" ht="19.899999999999999" customHeight="1">
      <c r="A28" s="96" t="s">
        <v>102</v>
      </c>
      <c r="B28" s="97">
        <v>2070</v>
      </c>
      <c r="C28" s="97" t="s">
        <v>76</v>
      </c>
      <c r="D28" s="98" t="s">
        <v>44</v>
      </c>
      <c r="E28" s="98" t="s">
        <v>45</v>
      </c>
      <c r="F28" s="98" t="s">
        <v>46</v>
      </c>
      <c r="G28" s="98" t="s">
        <v>103</v>
      </c>
      <c r="H28" s="75" t="s">
        <v>44</v>
      </c>
      <c r="I28" s="75" t="s">
        <v>45</v>
      </c>
      <c r="J28" s="75" t="s">
        <v>46</v>
      </c>
      <c r="K28" s="75" t="s">
        <v>77</v>
      </c>
      <c r="L28" s="77"/>
    </row>
    <row r="29" spans="1:12" ht="19.899999999999999" customHeight="1">
      <c r="A29" s="96" t="s">
        <v>104</v>
      </c>
      <c r="B29" s="97">
        <v>2380</v>
      </c>
      <c r="C29" s="97" t="s">
        <v>76</v>
      </c>
      <c r="D29" s="98" t="s">
        <v>44</v>
      </c>
      <c r="E29" s="98" t="s">
        <v>45</v>
      </c>
      <c r="F29" s="98" t="s">
        <v>46</v>
      </c>
      <c r="G29" s="98" t="s">
        <v>103</v>
      </c>
      <c r="H29" s="97" t="s">
        <v>68</v>
      </c>
      <c r="I29" s="97" t="s">
        <v>41</v>
      </c>
      <c r="J29" s="97">
        <v>1</v>
      </c>
      <c r="K29" s="97" t="s">
        <v>105</v>
      </c>
      <c r="L29" s="100"/>
    </row>
    <row r="30" spans="1:12" ht="19.899999999999999" customHeight="1" thickBot="1">
      <c r="A30" s="208" t="s">
        <v>106</v>
      </c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10"/>
    </row>
    <row r="31" spans="1:12" ht="19.899999999999999" customHeight="1" thickBot="1">
      <c r="A31" s="208" t="s">
        <v>107</v>
      </c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10"/>
    </row>
    <row r="32" spans="1:12" s="7" customFormat="1" ht="16.899999999999999" customHeight="1">
      <c r="A32" s="221" t="s">
        <v>108</v>
      </c>
      <c r="B32" s="8" t="s">
        <v>109</v>
      </c>
      <c r="C32" s="213" t="s">
        <v>110</v>
      </c>
      <c r="D32" s="213"/>
      <c r="E32" s="205" t="s">
        <v>111</v>
      </c>
      <c r="F32" s="205"/>
      <c r="G32" s="11" t="s">
        <v>112</v>
      </c>
      <c r="H32" s="11" t="s">
        <v>113</v>
      </c>
      <c r="I32" s="11" t="s">
        <v>114</v>
      </c>
      <c r="J32" s="205" t="s">
        <v>115</v>
      </c>
      <c r="K32" s="8" t="s">
        <v>116</v>
      </c>
      <c r="L32" s="12" t="s">
        <v>117</v>
      </c>
    </row>
    <row r="33" spans="1:12" s="7" customFormat="1" ht="16.899999999999999" customHeight="1">
      <c r="A33" s="222"/>
      <c r="B33" s="9" t="s">
        <v>118</v>
      </c>
      <c r="C33" s="214" t="s">
        <v>119</v>
      </c>
      <c r="D33" s="214"/>
      <c r="E33" s="206"/>
      <c r="F33" s="206"/>
      <c r="G33" s="13" t="s">
        <v>120</v>
      </c>
      <c r="H33" s="13" t="s">
        <v>121</v>
      </c>
      <c r="I33" s="13" t="s">
        <v>122</v>
      </c>
      <c r="J33" s="206"/>
      <c r="K33" s="9" t="s">
        <v>123</v>
      </c>
      <c r="L33" s="14" t="s">
        <v>124</v>
      </c>
    </row>
    <row r="34" spans="1:12" s="7" customFormat="1" ht="16.899999999999999" customHeight="1" thickBot="1">
      <c r="A34" s="223"/>
      <c r="B34" s="10" t="s">
        <v>125</v>
      </c>
      <c r="C34" s="215" t="s">
        <v>126</v>
      </c>
      <c r="D34" s="215"/>
      <c r="E34" s="207"/>
      <c r="F34" s="207"/>
      <c r="G34" s="15" t="s">
        <v>127</v>
      </c>
      <c r="H34" s="15" t="s">
        <v>128</v>
      </c>
      <c r="I34" s="15" t="s">
        <v>129</v>
      </c>
      <c r="J34" s="207"/>
      <c r="K34" s="10" t="s">
        <v>130</v>
      </c>
      <c r="L34" s="16" t="s">
        <v>131</v>
      </c>
    </row>
  </sheetData>
  <mergeCells count="17">
    <mergeCell ref="A30:L30"/>
    <mergeCell ref="C1:E2"/>
    <mergeCell ref="A1:B2"/>
    <mergeCell ref="F1:G1"/>
    <mergeCell ref="J32:J34"/>
    <mergeCell ref="E32:F34"/>
    <mergeCell ref="A31:L31"/>
    <mergeCell ref="F2:G2"/>
    <mergeCell ref="B3:D3"/>
    <mergeCell ref="C32:D32"/>
    <mergeCell ref="C33:D33"/>
    <mergeCell ref="C34:D34"/>
    <mergeCell ref="A5:L5"/>
    <mergeCell ref="B4:D4"/>
    <mergeCell ref="J3:K3"/>
    <mergeCell ref="J4:K4"/>
    <mergeCell ref="A32:A34"/>
  </mergeCells>
  <phoneticPr fontId="8" type="noConversion"/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E6F6-7D40-4A0C-8158-77F246F79724}">
  <dimension ref="A1:L35"/>
  <sheetViews>
    <sheetView showGridLines="0" topLeftCell="A4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1.42578125" style="4" bestFit="1" customWidth="1"/>
    <col min="7" max="7" width="24.140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2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132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86" t="s">
        <v>133</v>
      </c>
      <c r="B7" s="87">
        <v>360</v>
      </c>
      <c r="C7" s="87" t="s">
        <v>39</v>
      </c>
      <c r="D7" s="65" t="s">
        <v>68</v>
      </c>
      <c r="E7" s="65" t="s">
        <v>41</v>
      </c>
      <c r="F7" s="65">
        <v>1</v>
      </c>
      <c r="G7" s="65" t="s">
        <v>134</v>
      </c>
      <c r="H7" s="88" t="s">
        <v>44</v>
      </c>
      <c r="I7" s="88" t="s">
        <v>45</v>
      </c>
      <c r="J7" s="88" t="s">
        <v>46</v>
      </c>
      <c r="K7" s="88" t="s">
        <v>79</v>
      </c>
      <c r="L7" s="89"/>
    </row>
    <row r="8" spans="1:12" ht="19.899999999999999" customHeight="1">
      <c r="A8" s="64" t="s">
        <v>135</v>
      </c>
      <c r="B8" s="83">
        <v>360</v>
      </c>
      <c r="C8" s="83" t="s">
        <v>39</v>
      </c>
      <c r="D8" s="66" t="s">
        <v>68</v>
      </c>
      <c r="E8" s="66" t="s">
        <v>41</v>
      </c>
      <c r="F8" s="66" t="s">
        <v>42</v>
      </c>
      <c r="G8" s="66" t="s">
        <v>136</v>
      </c>
      <c r="H8" s="66" t="s">
        <v>44</v>
      </c>
      <c r="I8" s="66" t="s">
        <v>45</v>
      </c>
      <c r="J8" s="66" t="s">
        <v>46</v>
      </c>
      <c r="K8" s="66" t="s">
        <v>79</v>
      </c>
      <c r="L8" s="84"/>
    </row>
    <row r="9" spans="1:12" ht="19.899999999999999" customHeight="1">
      <c r="A9" s="64" t="s">
        <v>137</v>
      </c>
      <c r="B9" s="65">
        <v>360</v>
      </c>
      <c r="C9" s="65" t="s">
        <v>39</v>
      </c>
      <c r="D9" s="66" t="s">
        <v>68</v>
      </c>
      <c r="E9" s="66" t="s">
        <v>41</v>
      </c>
      <c r="F9" s="66" t="s">
        <v>42</v>
      </c>
      <c r="G9" s="66" t="s">
        <v>138</v>
      </c>
      <c r="H9" s="66" t="s">
        <v>44</v>
      </c>
      <c r="I9" s="66" t="s">
        <v>45</v>
      </c>
      <c r="J9" s="66" t="s">
        <v>46</v>
      </c>
      <c r="K9" s="66" t="s">
        <v>79</v>
      </c>
      <c r="L9" s="85"/>
    </row>
    <row r="10" spans="1:12" ht="19.899999999999999" customHeight="1">
      <c r="A10" s="67" t="s">
        <v>139</v>
      </c>
      <c r="B10" s="68">
        <v>560</v>
      </c>
      <c r="C10" s="68" t="s">
        <v>39</v>
      </c>
      <c r="D10" s="69" t="s">
        <v>68</v>
      </c>
      <c r="E10" s="69" t="s">
        <v>41</v>
      </c>
      <c r="F10" s="69" t="s">
        <v>42</v>
      </c>
      <c r="G10" s="69" t="s">
        <v>140</v>
      </c>
      <c r="H10" s="69" t="s">
        <v>44</v>
      </c>
      <c r="I10" s="69" t="s">
        <v>45</v>
      </c>
      <c r="J10" s="69" t="s">
        <v>46</v>
      </c>
      <c r="K10" s="69" t="s">
        <v>81</v>
      </c>
      <c r="L10" s="91"/>
    </row>
    <row r="11" spans="1:12" ht="19.899999999999999" customHeight="1">
      <c r="A11" s="67" t="s">
        <v>141</v>
      </c>
      <c r="B11" s="68">
        <v>560</v>
      </c>
      <c r="C11" s="68" t="s">
        <v>39</v>
      </c>
      <c r="D11" s="69" t="s">
        <v>68</v>
      </c>
      <c r="E11" s="69" t="s">
        <v>41</v>
      </c>
      <c r="F11" s="69" t="s">
        <v>42</v>
      </c>
      <c r="G11" s="69" t="s">
        <v>142</v>
      </c>
      <c r="H11" s="69" t="s">
        <v>44</v>
      </c>
      <c r="I11" s="69" t="s">
        <v>45</v>
      </c>
      <c r="J11" s="69" t="s">
        <v>46</v>
      </c>
      <c r="K11" s="69" t="s">
        <v>81</v>
      </c>
      <c r="L11" s="91"/>
    </row>
    <row r="12" spans="1:12" ht="19.899999999999999" customHeight="1">
      <c r="A12" s="67" t="s">
        <v>143</v>
      </c>
      <c r="B12" s="68">
        <v>560</v>
      </c>
      <c r="C12" s="68" t="s">
        <v>39</v>
      </c>
      <c r="D12" s="69" t="s">
        <v>68</v>
      </c>
      <c r="E12" s="69" t="s">
        <v>41</v>
      </c>
      <c r="F12" s="69" t="s">
        <v>42</v>
      </c>
      <c r="G12" s="69" t="s">
        <v>144</v>
      </c>
      <c r="H12" s="69" t="s">
        <v>44</v>
      </c>
      <c r="I12" s="69" t="s">
        <v>45</v>
      </c>
      <c r="J12" s="69" t="s">
        <v>46</v>
      </c>
      <c r="K12" s="69" t="s">
        <v>81</v>
      </c>
      <c r="L12" s="91"/>
    </row>
    <row r="13" spans="1:12" ht="19.5" customHeight="1">
      <c r="A13" s="67" t="s">
        <v>145</v>
      </c>
      <c r="B13" s="68">
        <v>560</v>
      </c>
      <c r="C13" s="68" t="s">
        <v>39</v>
      </c>
      <c r="D13" s="69" t="s">
        <v>68</v>
      </c>
      <c r="E13" s="69" t="s">
        <v>41</v>
      </c>
      <c r="F13" s="69" t="s">
        <v>42</v>
      </c>
      <c r="G13" s="69" t="s">
        <v>146</v>
      </c>
      <c r="H13" s="69" t="s">
        <v>44</v>
      </c>
      <c r="I13" s="69" t="s">
        <v>45</v>
      </c>
      <c r="J13" s="69" t="s">
        <v>46</v>
      </c>
      <c r="K13" s="69" t="s">
        <v>81</v>
      </c>
      <c r="L13" s="91"/>
    </row>
    <row r="14" spans="1:12" ht="19.5" customHeight="1">
      <c r="A14" s="67" t="s">
        <v>147</v>
      </c>
      <c r="B14" s="68">
        <v>560</v>
      </c>
      <c r="C14" s="68" t="s">
        <v>39</v>
      </c>
      <c r="D14" s="69" t="s">
        <v>68</v>
      </c>
      <c r="E14" s="69" t="s">
        <v>41</v>
      </c>
      <c r="F14" s="69" t="s">
        <v>42</v>
      </c>
      <c r="G14" s="69" t="s">
        <v>148</v>
      </c>
      <c r="H14" s="69" t="s">
        <v>44</v>
      </c>
      <c r="I14" s="69" t="s">
        <v>45</v>
      </c>
      <c r="J14" s="69" t="s">
        <v>46</v>
      </c>
      <c r="K14" s="69" t="s">
        <v>81</v>
      </c>
      <c r="L14" s="91"/>
    </row>
    <row r="15" spans="1:12" ht="19.899999999999999" customHeight="1">
      <c r="A15" s="67" t="s">
        <v>149</v>
      </c>
      <c r="B15" s="68">
        <v>560</v>
      </c>
      <c r="C15" s="68" t="s">
        <v>39</v>
      </c>
      <c r="D15" s="69" t="s">
        <v>68</v>
      </c>
      <c r="E15" s="69" t="s">
        <v>41</v>
      </c>
      <c r="F15" s="69" t="s">
        <v>42</v>
      </c>
      <c r="G15" s="69" t="s">
        <v>150</v>
      </c>
      <c r="H15" s="69" t="s">
        <v>44</v>
      </c>
      <c r="I15" s="69" t="s">
        <v>45</v>
      </c>
      <c r="J15" s="69" t="s">
        <v>46</v>
      </c>
      <c r="K15" s="69" t="s">
        <v>81</v>
      </c>
      <c r="L15" s="91"/>
    </row>
    <row r="16" spans="1:12" ht="19.899999999999999" customHeight="1">
      <c r="A16" s="92" t="s">
        <v>151</v>
      </c>
      <c r="B16" s="93">
        <v>450</v>
      </c>
      <c r="C16" s="93" t="s">
        <v>65</v>
      </c>
      <c r="D16" s="94" t="s">
        <v>44</v>
      </c>
      <c r="E16" s="94" t="s">
        <v>45</v>
      </c>
      <c r="F16" s="94" t="s">
        <v>46</v>
      </c>
      <c r="G16" s="94" t="s">
        <v>83</v>
      </c>
      <c r="H16" s="94" t="s">
        <v>94</v>
      </c>
      <c r="I16" s="94" t="s">
        <v>41</v>
      </c>
      <c r="J16" s="94" t="s">
        <v>42</v>
      </c>
      <c r="K16" s="94" t="s">
        <v>152</v>
      </c>
      <c r="L16" s="95"/>
    </row>
    <row r="17" spans="1:12" ht="19.899999999999999" customHeight="1">
      <c r="A17" s="92" t="s">
        <v>153</v>
      </c>
      <c r="B17" s="93">
        <v>450</v>
      </c>
      <c r="C17" s="93" t="s">
        <v>39</v>
      </c>
      <c r="D17" s="94" t="s">
        <v>44</v>
      </c>
      <c r="E17" s="94" t="s">
        <v>45</v>
      </c>
      <c r="F17" s="94" t="s">
        <v>46</v>
      </c>
      <c r="G17" s="94" t="s">
        <v>83</v>
      </c>
      <c r="H17" s="94" t="s">
        <v>68</v>
      </c>
      <c r="I17" s="94" t="s">
        <v>41</v>
      </c>
      <c r="J17" s="94" t="s">
        <v>42</v>
      </c>
      <c r="K17" s="94" t="s">
        <v>154</v>
      </c>
      <c r="L17" s="95"/>
    </row>
    <row r="18" spans="1:12" ht="19.899999999999999" customHeight="1">
      <c r="A18" s="92" t="s">
        <v>155</v>
      </c>
      <c r="B18" s="93">
        <v>260</v>
      </c>
      <c r="C18" s="93" t="s">
        <v>39</v>
      </c>
      <c r="D18" s="94" t="s">
        <v>68</v>
      </c>
      <c r="E18" s="94" t="s">
        <v>41</v>
      </c>
      <c r="F18" s="94" t="s">
        <v>42</v>
      </c>
      <c r="G18" s="94" t="s">
        <v>156</v>
      </c>
      <c r="H18" s="94" t="s">
        <v>44</v>
      </c>
      <c r="I18" s="94" t="s">
        <v>45</v>
      </c>
      <c r="J18" s="94" t="s">
        <v>46</v>
      </c>
      <c r="K18" s="94" t="s">
        <v>83</v>
      </c>
      <c r="L18" s="95"/>
    </row>
    <row r="19" spans="1:12" ht="19.899999999999999" customHeight="1">
      <c r="A19" s="92" t="s">
        <v>157</v>
      </c>
      <c r="B19" s="93">
        <v>260</v>
      </c>
      <c r="C19" s="93" t="s">
        <v>39</v>
      </c>
      <c r="D19" s="94" t="s">
        <v>68</v>
      </c>
      <c r="E19" s="94" t="s">
        <v>41</v>
      </c>
      <c r="F19" s="94" t="s">
        <v>42</v>
      </c>
      <c r="G19" s="94" t="s">
        <v>158</v>
      </c>
      <c r="H19" s="94" t="s">
        <v>44</v>
      </c>
      <c r="I19" s="94" t="s">
        <v>45</v>
      </c>
      <c r="J19" s="94" t="s">
        <v>46</v>
      </c>
      <c r="K19" s="94" t="s">
        <v>83</v>
      </c>
      <c r="L19" s="95"/>
    </row>
    <row r="20" spans="1:12" ht="19.899999999999999" customHeight="1">
      <c r="A20" s="99" t="s">
        <v>159</v>
      </c>
      <c r="B20" s="97">
        <v>660</v>
      </c>
      <c r="C20" s="97" t="s">
        <v>39</v>
      </c>
      <c r="D20" s="98" t="s">
        <v>44</v>
      </c>
      <c r="E20" s="98" t="s">
        <v>45</v>
      </c>
      <c r="F20" s="98" t="s">
        <v>46</v>
      </c>
      <c r="G20" s="98" t="s">
        <v>103</v>
      </c>
      <c r="H20" s="98" t="s">
        <v>68</v>
      </c>
      <c r="I20" s="98" t="s">
        <v>41</v>
      </c>
      <c r="J20" s="98" t="s">
        <v>42</v>
      </c>
      <c r="K20" s="98" t="s">
        <v>160</v>
      </c>
      <c r="L20" s="100"/>
    </row>
    <row r="21" spans="1:12" ht="19.899999999999999" customHeight="1">
      <c r="A21" s="101" t="s">
        <v>161</v>
      </c>
      <c r="B21" s="102">
        <v>640</v>
      </c>
      <c r="C21" s="102" t="s">
        <v>76</v>
      </c>
      <c r="D21" s="103" t="s">
        <v>44</v>
      </c>
      <c r="E21" s="103" t="s">
        <v>45</v>
      </c>
      <c r="F21" s="103" t="s">
        <v>46</v>
      </c>
      <c r="G21" s="103" t="s">
        <v>162</v>
      </c>
      <c r="H21" s="98" t="s">
        <v>44</v>
      </c>
      <c r="I21" s="98" t="s">
        <v>45</v>
      </c>
      <c r="J21" s="98" t="s">
        <v>46</v>
      </c>
      <c r="K21" s="98" t="s">
        <v>103</v>
      </c>
      <c r="L21" s="100"/>
    </row>
    <row r="22" spans="1:12" ht="19.899999999999999" customHeight="1">
      <c r="A22" s="101" t="s">
        <v>163</v>
      </c>
      <c r="B22" s="102">
        <v>300</v>
      </c>
      <c r="C22" s="102" t="s">
        <v>65</v>
      </c>
      <c r="D22" s="103" t="s">
        <v>44</v>
      </c>
      <c r="E22" s="103" t="s">
        <v>45</v>
      </c>
      <c r="F22" s="103" t="s">
        <v>46</v>
      </c>
      <c r="G22" s="103" t="s">
        <v>162</v>
      </c>
      <c r="H22" s="103" t="s">
        <v>68</v>
      </c>
      <c r="I22" s="103" t="s">
        <v>41</v>
      </c>
      <c r="J22" s="103" t="s">
        <v>42</v>
      </c>
      <c r="K22" s="103" t="s">
        <v>164</v>
      </c>
      <c r="L22" s="104"/>
    </row>
    <row r="23" spans="1:12" ht="19.899999999999999" customHeight="1">
      <c r="A23" s="61" t="s">
        <v>165</v>
      </c>
      <c r="B23" s="62">
        <v>130</v>
      </c>
      <c r="C23" s="62" t="s">
        <v>76</v>
      </c>
      <c r="D23" s="63" t="s">
        <v>44</v>
      </c>
      <c r="E23" s="63" t="s">
        <v>45</v>
      </c>
      <c r="F23" s="63" t="s">
        <v>46</v>
      </c>
      <c r="G23" s="63" t="s">
        <v>166</v>
      </c>
      <c r="H23" s="103" t="s">
        <v>44</v>
      </c>
      <c r="I23" s="103" t="s">
        <v>45</v>
      </c>
      <c r="J23" s="103" t="s">
        <v>46</v>
      </c>
      <c r="K23" s="103" t="s">
        <v>162</v>
      </c>
      <c r="L23" s="104"/>
    </row>
    <row r="24" spans="1:12" ht="19.899999999999999" customHeight="1">
      <c r="A24" s="61" t="s">
        <v>167</v>
      </c>
      <c r="B24" s="62">
        <v>620</v>
      </c>
      <c r="C24" s="62" t="s">
        <v>71</v>
      </c>
      <c r="D24" s="62" t="s">
        <v>168</v>
      </c>
      <c r="E24" s="62" t="s">
        <v>41</v>
      </c>
      <c r="F24" s="62">
        <v>2</v>
      </c>
      <c r="G24" s="62" t="s">
        <v>169</v>
      </c>
      <c r="H24" s="63" t="s">
        <v>44</v>
      </c>
      <c r="I24" s="63" t="s">
        <v>45</v>
      </c>
      <c r="J24" s="63" t="s">
        <v>46</v>
      </c>
      <c r="K24" s="63" t="s">
        <v>166</v>
      </c>
      <c r="L24" s="105"/>
    </row>
    <row r="25" spans="1:12" ht="19.899999999999999" customHeight="1">
      <c r="A25" s="61" t="s">
        <v>170</v>
      </c>
      <c r="B25" s="62">
        <v>620</v>
      </c>
      <c r="C25" s="62" t="s">
        <v>71</v>
      </c>
      <c r="D25" s="62" t="s">
        <v>168</v>
      </c>
      <c r="E25" s="62" t="s">
        <v>41</v>
      </c>
      <c r="F25" s="62">
        <v>1</v>
      </c>
      <c r="G25" s="62" t="s">
        <v>169</v>
      </c>
      <c r="H25" s="63" t="s">
        <v>44</v>
      </c>
      <c r="I25" s="63" t="s">
        <v>45</v>
      </c>
      <c r="J25" s="63" t="s">
        <v>46</v>
      </c>
      <c r="K25" s="63" t="s">
        <v>166</v>
      </c>
      <c r="L25" s="105"/>
    </row>
    <row r="26" spans="1:12" ht="19.899999999999999" customHeight="1">
      <c r="A26" s="78" t="s">
        <v>171</v>
      </c>
      <c r="B26" s="2">
        <v>1930</v>
      </c>
      <c r="C26" s="2" t="s">
        <v>172</v>
      </c>
      <c r="D26" s="79" t="s">
        <v>68</v>
      </c>
      <c r="E26" s="79" t="s">
        <v>41</v>
      </c>
      <c r="F26" s="79" t="s">
        <v>173</v>
      </c>
      <c r="G26" s="79" t="s">
        <v>156</v>
      </c>
      <c r="H26" s="2" t="s">
        <v>90</v>
      </c>
      <c r="I26" s="2" t="s">
        <v>91</v>
      </c>
      <c r="J26" s="2">
        <v>49</v>
      </c>
      <c r="K26" s="2" t="s">
        <v>92</v>
      </c>
      <c r="L26" s="81"/>
    </row>
    <row r="27" spans="1:12" ht="19.899999999999999" customHeight="1">
      <c r="A27" s="106" t="s">
        <v>174</v>
      </c>
      <c r="B27" s="107">
        <v>250</v>
      </c>
      <c r="C27" s="107" t="s">
        <v>175</v>
      </c>
      <c r="D27" s="107" t="s">
        <v>168</v>
      </c>
      <c r="E27" s="107" t="s">
        <v>176</v>
      </c>
      <c r="F27" s="107">
        <v>3</v>
      </c>
      <c r="G27" s="107" t="s">
        <v>169</v>
      </c>
      <c r="H27" s="108" t="s">
        <v>44</v>
      </c>
      <c r="I27" s="108" t="s">
        <v>45</v>
      </c>
      <c r="J27" s="108" t="s">
        <v>46</v>
      </c>
      <c r="K27" s="108" t="s">
        <v>177</v>
      </c>
      <c r="L27" s="109"/>
    </row>
    <row r="28" spans="1:12" ht="19.899999999999999" customHeight="1">
      <c r="A28" s="106" t="s">
        <v>178</v>
      </c>
      <c r="B28" s="107">
        <v>250</v>
      </c>
      <c r="C28" s="107" t="s">
        <v>175</v>
      </c>
      <c r="D28" s="107" t="s">
        <v>168</v>
      </c>
      <c r="E28" s="107" t="s">
        <v>176</v>
      </c>
      <c r="F28" s="107">
        <v>4</v>
      </c>
      <c r="G28" s="107" t="s">
        <v>169</v>
      </c>
      <c r="H28" s="108" t="s">
        <v>44</v>
      </c>
      <c r="I28" s="108" t="s">
        <v>45</v>
      </c>
      <c r="J28" s="108" t="s">
        <v>46</v>
      </c>
      <c r="K28" s="108" t="s">
        <v>177</v>
      </c>
      <c r="L28" s="109"/>
    </row>
    <row r="29" spans="1:12" ht="19.899999999999999" customHeight="1">
      <c r="A29" s="106" t="s">
        <v>179</v>
      </c>
      <c r="B29" s="107">
        <v>4380</v>
      </c>
      <c r="C29" s="107" t="s">
        <v>180</v>
      </c>
      <c r="D29" s="108" t="s">
        <v>44</v>
      </c>
      <c r="E29" s="108" t="s">
        <v>45</v>
      </c>
      <c r="F29" s="108" t="s">
        <v>46</v>
      </c>
      <c r="G29" s="108" t="s">
        <v>177</v>
      </c>
      <c r="H29" s="108" t="s">
        <v>181</v>
      </c>
      <c r="I29" s="108" t="s">
        <v>182</v>
      </c>
      <c r="J29" s="108" t="s">
        <v>46</v>
      </c>
      <c r="K29" s="108" t="s">
        <v>183</v>
      </c>
      <c r="L29" s="109"/>
    </row>
    <row r="30" spans="1:12" ht="19.899999999999999" customHeight="1">
      <c r="A30" s="82" t="s">
        <v>184</v>
      </c>
      <c r="B30" s="2">
        <v>3870</v>
      </c>
      <c r="C30" s="2" t="s">
        <v>185</v>
      </c>
      <c r="D30" s="79" t="s">
        <v>68</v>
      </c>
      <c r="E30" s="79" t="s">
        <v>41</v>
      </c>
      <c r="F30" s="79" t="s">
        <v>173</v>
      </c>
      <c r="G30" s="79" t="s">
        <v>164</v>
      </c>
      <c r="H30" s="79" t="s">
        <v>50</v>
      </c>
      <c r="I30" s="79" t="s">
        <v>41</v>
      </c>
      <c r="J30" s="79" t="s">
        <v>186</v>
      </c>
      <c r="K30" s="79" t="s">
        <v>43</v>
      </c>
      <c r="L30" s="81" t="s">
        <v>48</v>
      </c>
    </row>
    <row r="31" spans="1:12" ht="19.899999999999999" customHeight="1">
      <c r="A31" s="82" t="s">
        <v>187</v>
      </c>
      <c r="B31" s="2">
        <v>3610</v>
      </c>
      <c r="C31" s="2" t="s">
        <v>188</v>
      </c>
      <c r="D31" s="2" t="s">
        <v>189</v>
      </c>
      <c r="E31" s="2" t="s">
        <v>41</v>
      </c>
      <c r="F31" s="2">
        <v>3</v>
      </c>
      <c r="G31" s="79" t="s">
        <v>164</v>
      </c>
      <c r="H31" s="2" t="s">
        <v>90</v>
      </c>
      <c r="I31" s="2" t="s">
        <v>41</v>
      </c>
      <c r="J31" s="2">
        <v>33</v>
      </c>
      <c r="K31" s="2" t="s">
        <v>190</v>
      </c>
      <c r="L31" s="81"/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C35:D35"/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J3:K3"/>
    <mergeCell ref="A1:B2"/>
    <mergeCell ref="C1:E2"/>
    <mergeCell ref="F1:G1"/>
    <mergeCell ref="F2:G2"/>
    <mergeCell ref="B3:D3"/>
  </mergeCells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6118-92AD-4FBA-90FE-8E6EACB17D90}">
  <dimension ref="A1:L35"/>
  <sheetViews>
    <sheetView showGridLines="0" topLeftCell="A7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8.42578125" style="4" bestFit="1" customWidth="1"/>
    <col min="4" max="4" width="19" style="4" bestFit="1" customWidth="1"/>
    <col min="5" max="5" width="8.42578125" style="4" customWidth="1"/>
    <col min="6" max="6" width="11.42578125" style="4" bestFit="1" customWidth="1"/>
    <col min="7" max="7" width="24.140625" style="4" bestFit="1" customWidth="1"/>
    <col min="8" max="8" width="20.42578125" style="4" customWidth="1"/>
    <col min="9" max="9" width="14.85546875" style="4" bestFit="1" customWidth="1"/>
    <col min="10" max="10" width="9.28515625" style="4" bestFit="1" customWidth="1"/>
    <col min="11" max="11" width="22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191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12" t="s">
        <v>192</v>
      </c>
      <c r="B7" s="224">
        <v>390</v>
      </c>
      <c r="C7" s="113" t="s">
        <v>193</v>
      </c>
      <c r="D7" s="114" t="s">
        <v>194</v>
      </c>
      <c r="E7" s="114" t="s">
        <v>195</v>
      </c>
      <c r="F7" s="114">
        <v>5</v>
      </c>
      <c r="G7" s="114" t="s">
        <v>169</v>
      </c>
      <c r="H7" s="115" t="s">
        <v>196</v>
      </c>
      <c r="I7" s="115" t="s">
        <v>197</v>
      </c>
      <c r="J7" s="115" t="s">
        <v>46</v>
      </c>
      <c r="K7" s="115" t="s">
        <v>198</v>
      </c>
      <c r="L7" s="116"/>
    </row>
    <row r="8" spans="1:12" ht="19.899999999999999" customHeight="1">
      <c r="A8" s="58" t="s">
        <v>199</v>
      </c>
      <c r="B8" s="225"/>
      <c r="C8" s="118" t="s">
        <v>200</v>
      </c>
      <c r="D8" s="60" t="s">
        <v>194</v>
      </c>
      <c r="E8" s="60" t="s">
        <v>201</v>
      </c>
      <c r="F8" s="60" t="s">
        <v>59</v>
      </c>
      <c r="G8" s="60" t="s">
        <v>169</v>
      </c>
      <c r="H8" s="60" t="s">
        <v>196</v>
      </c>
      <c r="I8" s="60" t="s">
        <v>197</v>
      </c>
      <c r="J8" s="60" t="s">
        <v>46</v>
      </c>
      <c r="K8" s="60" t="s">
        <v>202</v>
      </c>
      <c r="L8" s="119"/>
    </row>
    <row r="9" spans="1:12" ht="19.899999999999999" customHeight="1">
      <c r="A9" s="117" t="s">
        <v>203</v>
      </c>
      <c r="B9" s="226">
        <v>3480</v>
      </c>
      <c r="C9" s="113" t="s">
        <v>193</v>
      </c>
      <c r="D9" s="115" t="s">
        <v>196</v>
      </c>
      <c r="E9" s="115" t="s">
        <v>204</v>
      </c>
      <c r="F9" s="115" t="s">
        <v>46</v>
      </c>
      <c r="G9" s="115" t="s">
        <v>198</v>
      </c>
      <c r="H9" s="123" t="s">
        <v>196</v>
      </c>
      <c r="I9" s="123" t="s">
        <v>197</v>
      </c>
      <c r="J9" s="123" t="s">
        <v>46</v>
      </c>
      <c r="K9" s="123" t="s">
        <v>205</v>
      </c>
      <c r="L9" s="100"/>
    </row>
    <row r="10" spans="1:12" ht="19.899999999999999" customHeight="1">
      <c r="A10" s="58" t="s">
        <v>206</v>
      </c>
      <c r="B10" s="225"/>
      <c r="C10" s="118" t="s">
        <v>200</v>
      </c>
      <c r="D10" s="60" t="s">
        <v>196</v>
      </c>
      <c r="E10" s="60" t="s">
        <v>204</v>
      </c>
      <c r="F10" s="60" t="s">
        <v>46</v>
      </c>
      <c r="G10" s="60" t="s">
        <v>202</v>
      </c>
      <c r="H10" s="121" t="s">
        <v>196</v>
      </c>
      <c r="I10" s="121" t="s">
        <v>197</v>
      </c>
      <c r="J10" s="121" t="s">
        <v>46</v>
      </c>
      <c r="K10" s="121" t="s">
        <v>207</v>
      </c>
      <c r="L10" s="122"/>
    </row>
    <row r="11" spans="1:12" ht="19.899999999999999" customHeight="1">
      <c r="A11" s="117" t="s">
        <v>208</v>
      </c>
      <c r="B11" s="227">
        <v>610</v>
      </c>
      <c r="C11" s="113" t="s">
        <v>193</v>
      </c>
      <c r="D11" s="115" t="s">
        <v>196</v>
      </c>
      <c r="E11" s="115" t="s">
        <v>204</v>
      </c>
      <c r="F11" s="115" t="s">
        <v>46</v>
      </c>
      <c r="G11" s="115" t="s">
        <v>198</v>
      </c>
      <c r="H11" s="71" t="s">
        <v>189</v>
      </c>
      <c r="I11" s="71" t="s">
        <v>201</v>
      </c>
      <c r="J11" s="71" t="s">
        <v>42</v>
      </c>
      <c r="K11" s="71" t="s">
        <v>209</v>
      </c>
      <c r="L11" s="72"/>
    </row>
    <row r="12" spans="1:12" ht="19.899999999999999" customHeight="1">
      <c r="A12" s="58" t="s">
        <v>210</v>
      </c>
      <c r="B12" s="228"/>
      <c r="C12" s="118" t="s">
        <v>200</v>
      </c>
      <c r="D12" s="60" t="s">
        <v>196</v>
      </c>
      <c r="E12" s="60" t="s">
        <v>204</v>
      </c>
      <c r="F12" s="60" t="s">
        <v>46</v>
      </c>
      <c r="G12" s="60" t="s">
        <v>202</v>
      </c>
      <c r="H12" s="60" t="s">
        <v>189</v>
      </c>
      <c r="I12" s="60" t="s">
        <v>195</v>
      </c>
      <c r="J12" s="60" t="s">
        <v>173</v>
      </c>
      <c r="K12" s="60" t="s">
        <v>209</v>
      </c>
      <c r="L12" s="120"/>
    </row>
    <row r="13" spans="1:12" ht="19.5" customHeight="1">
      <c r="A13" s="99" t="s">
        <v>211</v>
      </c>
      <c r="B13" s="227">
        <v>220</v>
      </c>
      <c r="C13" s="124" t="s">
        <v>193</v>
      </c>
      <c r="D13" s="123" t="s">
        <v>196</v>
      </c>
      <c r="E13" s="123" t="s">
        <v>197</v>
      </c>
      <c r="F13" s="123" t="s">
        <v>46</v>
      </c>
      <c r="G13" s="123" t="s">
        <v>205</v>
      </c>
      <c r="H13" s="97" t="s">
        <v>194</v>
      </c>
      <c r="I13" s="98" t="s">
        <v>201</v>
      </c>
      <c r="J13" s="98" t="s">
        <v>212</v>
      </c>
      <c r="K13" s="97" t="s">
        <v>213</v>
      </c>
      <c r="L13" s="100"/>
    </row>
    <row r="14" spans="1:12" ht="19.5" customHeight="1">
      <c r="A14" s="45" t="s">
        <v>214</v>
      </c>
      <c r="B14" s="228"/>
      <c r="C14" s="46" t="s">
        <v>200</v>
      </c>
      <c r="D14" s="121" t="s">
        <v>196</v>
      </c>
      <c r="E14" s="121" t="s">
        <v>197</v>
      </c>
      <c r="F14" s="121" t="s">
        <v>46</v>
      </c>
      <c r="G14" s="121" t="s">
        <v>207</v>
      </c>
      <c r="H14" s="49" t="s">
        <v>194</v>
      </c>
      <c r="I14" s="47" t="s">
        <v>201</v>
      </c>
      <c r="J14" s="47" t="s">
        <v>62</v>
      </c>
      <c r="K14" s="49" t="s">
        <v>213</v>
      </c>
      <c r="L14" s="50"/>
    </row>
    <row r="15" spans="1:12" ht="19.899999999999999" customHeight="1">
      <c r="A15" s="99" t="s">
        <v>215</v>
      </c>
      <c r="B15" s="227">
        <v>360</v>
      </c>
      <c r="C15" s="124" t="s">
        <v>193</v>
      </c>
      <c r="D15" s="123" t="s">
        <v>196</v>
      </c>
      <c r="E15" s="123" t="s">
        <v>197</v>
      </c>
      <c r="F15" s="123" t="s">
        <v>46</v>
      </c>
      <c r="G15" s="123" t="s">
        <v>205</v>
      </c>
      <c r="H15" s="98" t="s">
        <v>90</v>
      </c>
      <c r="I15" s="98" t="s">
        <v>216</v>
      </c>
      <c r="J15" s="98" t="s">
        <v>53</v>
      </c>
      <c r="K15" s="125" t="s">
        <v>217</v>
      </c>
      <c r="L15" s="100"/>
    </row>
    <row r="16" spans="1:12" ht="19.899999999999999" customHeight="1">
      <c r="A16" s="45" t="s">
        <v>218</v>
      </c>
      <c r="B16" s="228"/>
      <c r="C16" s="46" t="s">
        <v>200</v>
      </c>
      <c r="D16" s="121" t="s">
        <v>196</v>
      </c>
      <c r="E16" s="121" t="s">
        <v>197</v>
      </c>
      <c r="F16" s="121" t="s">
        <v>46</v>
      </c>
      <c r="G16" s="121" t="s">
        <v>207</v>
      </c>
      <c r="H16" s="47" t="s">
        <v>90</v>
      </c>
      <c r="I16" s="47" t="s">
        <v>216</v>
      </c>
      <c r="J16" s="47" t="s">
        <v>51</v>
      </c>
      <c r="K16" s="126" t="s">
        <v>217</v>
      </c>
      <c r="L16" s="50"/>
    </row>
    <row r="17" spans="1:12" ht="19.899999999999999" customHeight="1">
      <c r="A17" s="67" t="s">
        <v>219</v>
      </c>
      <c r="B17" s="227">
        <v>300</v>
      </c>
      <c r="C17" s="127" t="s">
        <v>193</v>
      </c>
      <c r="D17" s="69" t="s">
        <v>194</v>
      </c>
      <c r="E17" s="69" t="s">
        <v>201</v>
      </c>
      <c r="F17" s="69" t="s">
        <v>220</v>
      </c>
      <c r="G17" s="69" t="s">
        <v>169</v>
      </c>
      <c r="H17" s="128" t="s">
        <v>196</v>
      </c>
      <c r="I17" s="128" t="s">
        <v>197</v>
      </c>
      <c r="J17" s="128" t="s">
        <v>46</v>
      </c>
      <c r="K17" s="128" t="s">
        <v>221</v>
      </c>
      <c r="L17" s="91"/>
    </row>
    <row r="18" spans="1:12" ht="19.899999999999999" customHeight="1">
      <c r="A18" s="64" t="s">
        <v>222</v>
      </c>
      <c r="B18" s="228"/>
      <c r="C18" s="83" t="s">
        <v>200</v>
      </c>
      <c r="D18" s="66" t="s">
        <v>194</v>
      </c>
      <c r="E18" s="66" t="s">
        <v>201</v>
      </c>
      <c r="F18" s="66" t="s">
        <v>223</v>
      </c>
      <c r="G18" s="66" t="s">
        <v>169</v>
      </c>
      <c r="H18" s="88" t="s">
        <v>196</v>
      </c>
      <c r="I18" s="88" t="s">
        <v>197</v>
      </c>
      <c r="J18" s="88" t="s">
        <v>46</v>
      </c>
      <c r="K18" s="88" t="s">
        <v>224</v>
      </c>
      <c r="L18" s="85"/>
    </row>
    <row r="19" spans="1:12" ht="19.899999999999999" customHeight="1">
      <c r="A19" s="67" t="s">
        <v>225</v>
      </c>
      <c r="B19" s="227">
        <v>700</v>
      </c>
      <c r="C19" s="127" t="s">
        <v>193</v>
      </c>
      <c r="D19" s="128" t="s">
        <v>196</v>
      </c>
      <c r="E19" s="128" t="s">
        <v>197</v>
      </c>
      <c r="F19" s="128" t="s">
        <v>46</v>
      </c>
      <c r="G19" s="128" t="s">
        <v>221</v>
      </c>
      <c r="H19" s="69" t="s">
        <v>189</v>
      </c>
      <c r="I19" s="69" t="s">
        <v>201</v>
      </c>
      <c r="J19" s="69" t="s">
        <v>53</v>
      </c>
      <c r="K19" s="69" t="s">
        <v>209</v>
      </c>
      <c r="L19" s="91"/>
    </row>
    <row r="20" spans="1:12" ht="19.899999999999999" customHeight="1">
      <c r="A20" s="64" t="s">
        <v>226</v>
      </c>
      <c r="B20" s="228"/>
      <c r="C20" s="83" t="s">
        <v>200</v>
      </c>
      <c r="D20" s="88" t="s">
        <v>196</v>
      </c>
      <c r="E20" s="88" t="s">
        <v>197</v>
      </c>
      <c r="F20" s="88" t="s">
        <v>46</v>
      </c>
      <c r="G20" s="88" t="s">
        <v>224</v>
      </c>
      <c r="H20" s="66" t="s">
        <v>189</v>
      </c>
      <c r="I20" s="66" t="s">
        <v>201</v>
      </c>
      <c r="J20" s="66" t="s">
        <v>51</v>
      </c>
      <c r="K20" s="66" t="s">
        <v>209</v>
      </c>
      <c r="L20" s="85"/>
    </row>
    <row r="21" spans="1:12" ht="19.899999999999999" customHeight="1">
      <c r="A21" s="67" t="s">
        <v>227</v>
      </c>
      <c r="B21" s="227">
        <v>3570</v>
      </c>
      <c r="C21" s="127" t="s">
        <v>193</v>
      </c>
      <c r="D21" s="128" t="s">
        <v>196</v>
      </c>
      <c r="E21" s="128" t="s">
        <v>197</v>
      </c>
      <c r="F21" s="128" t="s">
        <v>46</v>
      </c>
      <c r="G21" s="128" t="s">
        <v>221</v>
      </c>
      <c r="H21" s="115" t="s">
        <v>196</v>
      </c>
      <c r="I21" s="115" t="s">
        <v>197</v>
      </c>
      <c r="J21" s="115" t="s">
        <v>46</v>
      </c>
      <c r="K21" s="115" t="s">
        <v>228</v>
      </c>
      <c r="L21" s="72"/>
    </row>
    <row r="22" spans="1:12" ht="19.899999999999999" customHeight="1">
      <c r="A22" s="64" t="s">
        <v>229</v>
      </c>
      <c r="B22" s="228"/>
      <c r="C22" s="83" t="s">
        <v>200</v>
      </c>
      <c r="D22" s="88" t="s">
        <v>196</v>
      </c>
      <c r="E22" s="88" t="s">
        <v>197</v>
      </c>
      <c r="F22" s="88" t="s">
        <v>46</v>
      </c>
      <c r="G22" s="88" t="s">
        <v>224</v>
      </c>
      <c r="H22" s="129" t="s">
        <v>196</v>
      </c>
      <c r="I22" s="129" t="s">
        <v>197</v>
      </c>
      <c r="J22" s="129" t="s">
        <v>46</v>
      </c>
      <c r="K22" s="129" t="s">
        <v>230</v>
      </c>
      <c r="L22" s="105"/>
    </row>
    <row r="23" spans="1:12" ht="19.899999999999999" customHeight="1">
      <c r="A23" s="117" t="s">
        <v>231</v>
      </c>
      <c r="B23" s="227">
        <v>220</v>
      </c>
      <c r="C23" s="113" t="s">
        <v>193</v>
      </c>
      <c r="D23" s="115" t="s">
        <v>196</v>
      </c>
      <c r="E23" s="115" t="s">
        <v>197</v>
      </c>
      <c r="F23" s="115" t="s">
        <v>46</v>
      </c>
      <c r="G23" s="115" t="s">
        <v>228</v>
      </c>
      <c r="H23" s="114" t="s">
        <v>194</v>
      </c>
      <c r="I23" s="71" t="s">
        <v>201</v>
      </c>
      <c r="J23" s="71" t="s">
        <v>212</v>
      </c>
      <c r="K23" s="114" t="s">
        <v>232</v>
      </c>
      <c r="L23" s="72"/>
    </row>
    <row r="24" spans="1:12" ht="19.899999999999999" customHeight="1">
      <c r="A24" s="61" t="s">
        <v>233</v>
      </c>
      <c r="B24" s="228"/>
      <c r="C24" s="131" t="s">
        <v>200</v>
      </c>
      <c r="D24" s="129" t="s">
        <v>196</v>
      </c>
      <c r="E24" s="129" t="s">
        <v>197</v>
      </c>
      <c r="F24" s="129" t="s">
        <v>46</v>
      </c>
      <c r="G24" s="129" t="s">
        <v>230</v>
      </c>
      <c r="H24" s="62" t="s">
        <v>194</v>
      </c>
      <c r="I24" s="63" t="s">
        <v>201</v>
      </c>
      <c r="J24" s="63" t="s">
        <v>62</v>
      </c>
      <c r="K24" s="62" t="s">
        <v>232</v>
      </c>
      <c r="L24" s="105"/>
    </row>
    <row r="25" spans="1:12" ht="19.899999999999999" customHeight="1">
      <c r="A25" s="117" t="s">
        <v>234</v>
      </c>
      <c r="B25" s="227">
        <v>360</v>
      </c>
      <c r="C25" s="113" t="s">
        <v>193</v>
      </c>
      <c r="D25" s="115" t="s">
        <v>196</v>
      </c>
      <c r="E25" s="115" t="s">
        <v>197</v>
      </c>
      <c r="F25" s="115" t="s">
        <v>46</v>
      </c>
      <c r="G25" s="115" t="s">
        <v>228</v>
      </c>
      <c r="H25" s="71" t="s">
        <v>90</v>
      </c>
      <c r="I25" s="71" t="s">
        <v>216</v>
      </c>
      <c r="J25" s="71" t="s">
        <v>235</v>
      </c>
      <c r="K25" s="133" t="s">
        <v>217</v>
      </c>
      <c r="L25" s="72"/>
    </row>
    <row r="26" spans="1:12" ht="19.899999999999999" customHeight="1">
      <c r="A26" s="61" t="s">
        <v>236</v>
      </c>
      <c r="B26" s="228"/>
      <c r="C26" s="131" t="s">
        <v>200</v>
      </c>
      <c r="D26" s="129" t="s">
        <v>196</v>
      </c>
      <c r="E26" s="129" t="s">
        <v>197</v>
      </c>
      <c r="F26" s="129" t="s">
        <v>46</v>
      </c>
      <c r="G26" s="129" t="s">
        <v>230</v>
      </c>
      <c r="H26" s="63" t="s">
        <v>90</v>
      </c>
      <c r="I26" s="63" t="s">
        <v>216</v>
      </c>
      <c r="J26" s="63" t="s">
        <v>237</v>
      </c>
      <c r="K26" s="132" t="s">
        <v>217</v>
      </c>
      <c r="L26" s="105"/>
    </row>
    <row r="27" spans="1:12" ht="19.899999999999999" customHeight="1">
      <c r="A27" s="82" t="s">
        <v>238</v>
      </c>
      <c r="B27" s="2">
        <v>3610</v>
      </c>
      <c r="C27" s="2" t="s">
        <v>188</v>
      </c>
      <c r="D27" s="2" t="s">
        <v>189</v>
      </c>
      <c r="E27" s="2" t="s">
        <v>41</v>
      </c>
      <c r="F27" s="2">
        <v>4</v>
      </c>
      <c r="G27" s="79" t="s">
        <v>164</v>
      </c>
      <c r="H27" s="79" t="s">
        <v>90</v>
      </c>
      <c r="I27" s="79" t="s">
        <v>91</v>
      </c>
      <c r="J27" s="79" t="s">
        <v>239</v>
      </c>
      <c r="K27" s="134" t="s">
        <v>217</v>
      </c>
      <c r="L27" s="81"/>
    </row>
    <row r="28" spans="1:12" ht="19.899999999999999" customHeight="1">
      <c r="A28" s="82" t="s">
        <v>240</v>
      </c>
      <c r="B28" s="2">
        <v>3610</v>
      </c>
      <c r="C28" s="2" t="s">
        <v>188</v>
      </c>
      <c r="D28" s="2" t="s">
        <v>189</v>
      </c>
      <c r="E28" s="2" t="s">
        <v>41</v>
      </c>
      <c r="F28" s="2">
        <v>5</v>
      </c>
      <c r="G28" s="79" t="s">
        <v>164</v>
      </c>
      <c r="H28" s="79" t="s">
        <v>90</v>
      </c>
      <c r="I28" s="79" t="s">
        <v>91</v>
      </c>
      <c r="J28" s="79" t="s">
        <v>241</v>
      </c>
      <c r="K28" s="134" t="s">
        <v>217</v>
      </c>
      <c r="L28" s="81"/>
    </row>
    <row r="29" spans="1:12" ht="19.899999999999999" customHeight="1">
      <c r="A29" s="82" t="s">
        <v>242</v>
      </c>
      <c r="B29" s="2">
        <v>3610</v>
      </c>
      <c r="C29" s="2" t="s">
        <v>188</v>
      </c>
      <c r="D29" s="2" t="s">
        <v>189</v>
      </c>
      <c r="E29" s="2" t="s">
        <v>41</v>
      </c>
      <c r="F29" s="2">
        <v>6</v>
      </c>
      <c r="G29" s="79" t="s">
        <v>164</v>
      </c>
      <c r="H29" s="2" t="s">
        <v>90</v>
      </c>
      <c r="I29" s="2" t="s">
        <v>41</v>
      </c>
      <c r="J29" s="2">
        <v>34</v>
      </c>
      <c r="K29" s="2" t="s">
        <v>190</v>
      </c>
      <c r="L29" s="81"/>
    </row>
    <row r="30" spans="1:12" ht="19.899999999999999" customHeight="1">
      <c r="A30" s="82" t="s">
        <v>243</v>
      </c>
      <c r="B30" s="2">
        <v>3610</v>
      </c>
      <c r="C30" s="2" t="s">
        <v>188</v>
      </c>
      <c r="D30" s="2" t="s">
        <v>189</v>
      </c>
      <c r="E30" s="2" t="s">
        <v>41</v>
      </c>
      <c r="F30" s="2">
        <v>7</v>
      </c>
      <c r="G30" s="79" t="s">
        <v>164</v>
      </c>
      <c r="H30" s="2" t="s">
        <v>90</v>
      </c>
      <c r="I30" s="2" t="s">
        <v>41</v>
      </c>
      <c r="J30" s="2">
        <v>35</v>
      </c>
      <c r="K30" s="2" t="s">
        <v>190</v>
      </c>
      <c r="L30" s="81"/>
    </row>
    <row r="31" spans="1:12" ht="19.899999999999999" customHeight="1">
      <c r="A31" s="82" t="s">
        <v>244</v>
      </c>
      <c r="B31" s="2">
        <v>1520</v>
      </c>
      <c r="C31" s="2" t="s">
        <v>245</v>
      </c>
      <c r="D31" s="2" t="s">
        <v>246</v>
      </c>
      <c r="E31" s="2" t="s">
        <v>41</v>
      </c>
      <c r="F31" s="2" t="s">
        <v>62</v>
      </c>
      <c r="G31" s="2" t="s">
        <v>247</v>
      </c>
      <c r="H31" s="79" t="s">
        <v>90</v>
      </c>
      <c r="I31" s="79" t="s">
        <v>91</v>
      </c>
      <c r="J31" s="79" t="s">
        <v>248</v>
      </c>
      <c r="K31" s="134" t="s">
        <v>217</v>
      </c>
      <c r="L31" s="154" t="s">
        <v>249</v>
      </c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26">
    <mergeCell ref="B25:B26"/>
    <mergeCell ref="B15:B16"/>
    <mergeCell ref="B17:B18"/>
    <mergeCell ref="B19:B20"/>
    <mergeCell ref="B21:B22"/>
    <mergeCell ref="B23:B24"/>
    <mergeCell ref="A32:L32"/>
    <mergeCell ref="A33:A35"/>
    <mergeCell ref="C33:D33"/>
    <mergeCell ref="E33:F35"/>
    <mergeCell ref="J33:J35"/>
    <mergeCell ref="C34:D34"/>
    <mergeCell ref="C35:D35"/>
    <mergeCell ref="A1:B2"/>
    <mergeCell ref="C1:E2"/>
    <mergeCell ref="F1:G1"/>
    <mergeCell ref="F2:G2"/>
    <mergeCell ref="B3:D3"/>
    <mergeCell ref="J3:K3"/>
    <mergeCell ref="B7:B8"/>
    <mergeCell ref="B9:B10"/>
    <mergeCell ref="B11:B12"/>
    <mergeCell ref="B13:B14"/>
    <mergeCell ref="B4:D4"/>
    <mergeCell ref="J4:K4"/>
    <mergeCell ref="A5:L5"/>
  </mergeCells>
  <pageMargins left="0.31496062992125984" right="0.19685039370078741" top="0.19685039370078741" bottom="0.19685039370078741" header="0" footer="0"/>
  <pageSetup paperSize="9" scale="81" orientation="landscape" r:id="rId1"/>
  <headerFooter>
    <oddFooter>&amp;R&amp;"Calibri,Regular"&amp;9IT 002/05 - REV.01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3153-7073-487B-90DB-521B6FC5B3EC}">
  <dimension ref="A1:L35"/>
  <sheetViews>
    <sheetView showGridLines="0" topLeftCell="A4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2.7109375" style="4" bestFit="1" customWidth="1"/>
    <col min="7" max="7" width="22.28515625" style="4" bestFit="1" customWidth="1"/>
    <col min="8" max="8" width="20.42578125" style="4" customWidth="1"/>
    <col min="9" max="9" width="14.85546875" style="4" bestFit="1" customWidth="1"/>
    <col min="10" max="10" width="9.28515625" style="4" bestFit="1" customWidth="1"/>
    <col min="11" max="11" width="24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250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36" t="s">
        <v>251</v>
      </c>
      <c r="B7" s="130">
        <v>350</v>
      </c>
      <c r="C7" s="130" t="s">
        <v>252</v>
      </c>
      <c r="D7" s="130" t="s">
        <v>189</v>
      </c>
      <c r="E7" s="130" t="s">
        <v>91</v>
      </c>
      <c r="F7" s="130">
        <v>8</v>
      </c>
      <c r="G7" s="129" t="s">
        <v>164</v>
      </c>
      <c r="H7" s="129" t="s">
        <v>196</v>
      </c>
      <c r="I7" s="129" t="s">
        <v>204</v>
      </c>
      <c r="J7" s="129" t="s">
        <v>46</v>
      </c>
      <c r="K7" s="129" t="s">
        <v>253</v>
      </c>
      <c r="L7" s="137"/>
    </row>
    <row r="8" spans="1:12" ht="19.899999999999999" customHeight="1">
      <c r="A8" s="53" t="s">
        <v>254</v>
      </c>
      <c r="B8" s="139">
        <v>890</v>
      </c>
      <c r="C8" s="139" t="s">
        <v>252</v>
      </c>
      <c r="D8" s="140" t="s">
        <v>196</v>
      </c>
      <c r="E8" s="140" t="s">
        <v>204</v>
      </c>
      <c r="F8" s="140" t="s">
        <v>46</v>
      </c>
      <c r="G8" s="140" t="s">
        <v>255</v>
      </c>
      <c r="H8" s="129" t="s">
        <v>196</v>
      </c>
      <c r="I8" s="129" t="s">
        <v>204</v>
      </c>
      <c r="J8" s="129" t="s">
        <v>46</v>
      </c>
      <c r="K8" s="129" t="s">
        <v>253</v>
      </c>
      <c r="L8" s="138"/>
    </row>
    <row r="9" spans="1:12" ht="19.899999999999999" customHeight="1">
      <c r="A9" s="61" t="s">
        <v>256</v>
      </c>
      <c r="B9" s="62">
        <v>670</v>
      </c>
      <c r="C9" s="62" t="s">
        <v>252</v>
      </c>
      <c r="D9" s="129" t="s">
        <v>196</v>
      </c>
      <c r="E9" s="129" t="s">
        <v>204</v>
      </c>
      <c r="F9" s="129" t="s">
        <v>46</v>
      </c>
      <c r="G9" s="129" t="s">
        <v>253</v>
      </c>
      <c r="H9" s="63" t="s">
        <v>194</v>
      </c>
      <c r="I9" s="63" t="s">
        <v>91</v>
      </c>
      <c r="J9" s="63" t="s">
        <v>57</v>
      </c>
      <c r="K9" s="63" t="s">
        <v>169</v>
      </c>
      <c r="L9" s="105"/>
    </row>
    <row r="10" spans="1:12" ht="19.899999999999999" customHeight="1">
      <c r="A10" s="53" t="s">
        <v>257</v>
      </c>
      <c r="B10" s="54">
        <v>310</v>
      </c>
      <c r="C10" s="54" t="s">
        <v>252</v>
      </c>
      <c r="D10" s="140" t="s">
        <v>196</v>
      </c>
      <c r="E10" s="140" t="s">
        <v>204</v>
      </c>
      <c r="F10" s="140" t="s">
        <v>46</v>
      </c>
      <c r="G10" s="140" t="s">
        <v>255</v>
      </c>
      <c r="H10" s="51" t="s">
        <v>90</v>
      </c>
      <c r="I10" s="51" t="s">
        <v>91</v>
      </c>
      <c r="J10" s="51" t="s">
        <v>173</v>
      </c>
      <c r="K10" s="51" t="s">
        <v>258</v>
      </c>
      <c r="L10" s="52"/>
    </row>
    <row r="11" spans="1:12" ht="19.899999999999999" customHeight="1">
      <c r="A11" s="53" t="s">
        <v>259</v>
      </c>
      <c r="B11" s="54">
        <v>2140</v>
      </c>
      <c r="C11" s="54" t="s">
        <v>252</v>
      </c>
      <c r="D11" s="140" t="s">
        <v>196</v>
      </c>
      <c r="E11" s="140" t="s">
        <v>204</v>
      </c>
      <c r="F11" s="140" t="s">
        <v>46</v>
      </c>
      <c r="G11" s="140" t="s">
        <v>255</v>
      </c>
      <c r="H11" s="51" t="s">
        <v>90</v>
      </c>
      <c r="I11" s="51" t="s">
        <v>91</v>
      </c>
      <c r="J11" s="51" t="s">
        <v>173</v>
      </c>
      <c r="K11" s="51" t="s">
        <v>260</v>
      </c>
      <c r="L11" s="52"/>
    </row>
    <row r="12" spans="1:12" ht="19.899999999999999" customHeight="1">
      <c r="A12" s="53" t="s">
        <v>261</v>
      </c>
      <c r="B12" s="54">
        <v>1800</v>
      </c>
      <c r="C12" s="54" t="s">
        <v>252</v>
      </c>
      <c r="D12" s="140" t="s">
        <v>196</v>
      </c>
      <c r="E12" s="140" t="s">
        <v>204</v>
      </c>
      <c r="F12" s="140" t="s">
        <v>46</v>
      </c>
      <c r="G12" s="140" t="s">
        <v>255</v>
      </c>
      <c r="H12" s="51" t="s">
        <v>262</v>
      </c>
      <c r="I12" s="51" t="s">
        <v>41</v>
      </c>
      <c r="J12" s="51" t="s">
        <v>212</v>
      </c>
      <c r="K12" s="51" t="s">
        <v>263</v>
      </c>
      <c r="L12" s="52" t="s">
        <v>264</v>
      </c>
    </row>
    <row r="13" spans="1:12" ht="19.5" customHeight="1">
      <c r="A13" s="58" t="s">
        <v>265</v>
      </c>
      <c r="B13" s="59">
        <v>2340</v>
      </c>
      <c r="C13" s="59" t="s">
        <v>252</v>
      </c>
      <c r="D13" s="141" t="s">
        <v>44</v>
      </c>
      <c r="E13" s="141" t="s">
        <v>45</v>
      </c>
      <c r="F13" s="141" t="s">
        <v>46</v>
      </c>
      <c r="G13" s="141" t="s">
        <v>266</v>
      </c>
      <c r="H13" s="140" t="s">
        <v>196</v>
      </c>
      <c r="I13" s="140" t="s">
        <v>204</v>
      </c>
      <c r="J13" s="140" t="s">
        <v>46</v>
      </c>
      <c r="K13" s="140" t="s">
        <v>255</v>
      </c>
      <c r="L13" s="52"/>
    </row>
    <row r="14" spans="1:12" ht="19.5" customHeight="1">
      <c r="A14" s="58" t="s">
        <v>267</v>
      </c>
      <c r="B14" s="59">
        <v>280</v>
      </c>
      <c r="C14" s="59" t="s">
        <v>252</v>
      </c>
      <c r="D14" s="141" t="s">
        <v>44</v>
      </c>
      <c r="E14" s="141" t="s">
        <v>45</v>
      </c>
      <c r="F14" s="141" t="s">
        <v>46</v>
      </c>
      <c r="G14" s="141" t="s">
        <v>266</v>
      </c>
      <c r="H14" s="59" t="s">
        <v>189</v>
      </c>
      <c r="I14" s="59" t="s">
        <v>91</v>
      </c>
      <c r="J14" s="59">
        <v>3</v>
      </c>
      <c r="K14" s="59" t="s">
        <v>69</v>
      </c>
      <c r="L14" s="120"/>
    </row>
    <row r="15" spans="1:12" ht="19.899999999999999" customHeight="1">
      <c r="A15" s="58" t="s">
        <v>268</v>
      </c>
      <c r="B15" s="59">
        <v>1550</v>
      </c>
      <c r="C15" s="59" t="s">
        <v>252</v>
      </c>
      <c r="D15" s="141" t="s">
        <v>44</v>
      </c>
      <c r="E15" s="141" t="s">
        <v>45</v>
      </c>
      <c r="F15" s="141" t="s">
        <v>46</v>
      </c>
      <c r="G15" s="141" t="s">
        <v>266</v>
      </c>
      <c r="H15" s="59" t="s">
        <v>189</v>
      </c>
      <c r="I15" s="59" t="s">
        <v>91</v>
      </c>
      <c r="J15" s="59">
        <v>3</v>
      </c>
      <c r="K15" s="59" t="s">
        <v>154</v>
      </c>
      <c r="L15" s="120"/>
    </row>
    <row r="16" spans="1:12" ht="19.899999999999999" customHeight="1">
      <c r="A16" s="58" t="s">
        <v>269</v>
      </c>
      <c r="B16" s="59">
        <v>3000</v>
      </c>
      <c r="C16" s="59" t="s">
        <v>252</v>
      </c>
      <c r="D16" s="141" t="s">
        <v>44</v>
      </c>
      <c r="E16" s="141" t="s">
        <v>45</v>
      </c>
      <c r="F16" s="141" t="s">
        <v>46</v>
      </c>
      <c r="G16" s="141" t="s">
        <v>266</v>
      </c>
      <c r="H16" s="142" t="s">
        <v>189</v>
      </c>
      <c r="I16" s="142" t="s">
        <v>91</v>
      </c>
      <c r="J16" s="142">
        <v>6</v>
      </c>
      <c r="K16" s="141" t="s">
        <v>270</v>
      </c>
      <c r="L16" s="120"/>
    </row>
    <row r="17" spans="1:12" ht="19.899999999999999" customHeight="1">
      <c r="A17" s="58" t="s">
        <v>271</v>
      </c>
      <c r="B17" s="59">
        <v>1660</v>
      </c>
      <c r="C17" s="59" t="s">
        <v>252</v>
      </c>
      <c r="D17" s="141" t="s">
        <v>44</v>
      </c>
      <c r="E17" s="141" t="s">
        <v>45</v>
      </c>
      <c r="F17" s="141" t="s">
        <v>46</v>
      </c>
      <c r="G17" s="141" t="s">
        <v>266</v>
      </c>
      <c r="H17" s="142" t="s">
        <v>189</v>
      </c>
      <c r="I17" s="142" t="s">
        <v>91</v>
      </c>
      <c r="J17" s="142">
        <v>6</v>
      </c>
      <c r="K17" s="141" t="s">
        <v>272</v>
      </c>
      <c r="L17" s="120"/>
    </row>
    <row r="18" spans="1:12" ht="19.899999999999999" customHeight="1">
      <c r="A18" s="58" t="s">
        <v>273</v>
      </c>
      <c r="B18" s="59">
        <v>410</v>
      </c>
      <c r="C18" s="59" t="s">
        <v>252</v>
      </c>
      <c r="D18" s="60" t="s">
        <v>90</v>
      </c>
      <c r="E18" s="60" t="s">
        <v>91</v>
      </c>
      <c r="F18" s="60" t="s">
        <v>223</v>
      </c>
      <c r="G18" s="143" t="s">
        <v>217</v>
      </c>
      <c r="H18" s="141" t="s">
        <v>44</v>
      </c>
      <c r="I18" s="141" t="s">
        <v>45</v>
      </c>
      <c r="J18" s="141" t="s">
        <v>46</v>
      </c>
      <c r="K18" s="141" t="s">
        <v>266</v>
      </c>
      <c r="L18" s="141"/>
    </row>
    <row r="19" spans="1:12" ht="19.899999999999999" customHeight="1">
      <c r="A19" s="144" t="s">
        <v>274</v>
      </c>
      <c r="B19" s="62">
        <v>520</v>
      </c>
      <c r="C19" s="62" t="s">
        <v>275</v>
      </c>
      <c r="D19" s="62" t="s">
        <v>189</v>
      </c>
      <c r="E19" s="62" t="s">
        <v>91</v>
      </c>
      <c r="F19" s="62">
        <v>9</v>
      </c>
      <c r="G19" s="63" t="s">
        <v>164</v>
      </c>
      <c r="H19" s="63" t="s">
        <v>196</v>
      </c>
      <c r="I19" s="63" t="s">
        <v>204</v>
      </c>
      <c r="J19" s="63" t="s">
        <v>46</v>
      </c>
      <c r="K19" s="63" t="s">
        <v>276</v>
      </c>
      <c r="L19" s="105"/>
    </row>
    <row r="20" spans="1:12" ht="19.899999999999999" customHeight="1">
      <c r="A20" s="117" t="s">
        <v>277</v>
      </c>
      <c r="B20" s="114">
        <v>1140</v>
      </c>
      <c r="C20" s="114" t="s">
        <v>275</v>
      </c>
      <c r="D20" s="71" t="s">
        <v>196</v>
      </c>
      <c r="E20" s="71" t="s">
        <v>204</v>
      </c>
      <c r="F20" s="71" t="s">
        <v>46</v>
      </c>
      <c r="G20" s="71" t="s">
        <v>278</v>
      </c>
      <c r="H20" s="63" t="s">
        <v>196</v>
      </c>
      <c r="I20" s="63" t="s">
        <v>204</v>
      </c>
      <c r="J20" s="63" t="s">
        <v>46</v>
      </c>
      <c r="K20" s="63" t="s">
        <v>276</v>
      </c>
      <c r="L20" s="105"/>
    </row>
    <row r="21" spans="1:12" ht="19.899999999999999" customHeight="1">
      <c r="A21" s="61" t="s">
        <v>279</v>
      </c>
      <c r="B21" s="62">
        <v>500</v>
      </c>
      <c r="C21" s="62" t="s">
        <v>275</v>
      </c>
      <c r="D21" s="63" t="s">
        <v>196</v>
      </c>
      <c r="E21" s="63" t="s">
        <v>204</v>
      </c>
      <c r="F21" s="63" t="s">
        <v>46</v>
      </c>
      <c r="G21" s="63" t="s">
        <v>276</v>
      </c>
      <c r="H21" s="63" t="s">
        <v>194</v>
      </c>
      <c r="I21" s="63" t="s">
        <v>91</v>
      </c>
      <c r="J21" s="63" t="s">
        <v>280</v>
      </c>
      <c r="K21" s="63" t="s">
        <v>169</v>
      </c>
      <c r="L21" s="105"/>
    </row>
    <row r="22" spans="1:12" ht="19.899999999999999" customHeight="1">
      <c r="A22" s="117" t="s">
        <v>281</v>
      </c>
      <c r="B22" s="114">
        <v>2250</v>
      </c>
      <c r="C22" s="114" t="s">
        <v>275</v>
      </c>
      <c r="D22" s="71" t="s">
        <v>196</v>
      </c>
      <c r="E22" s="71" t="s">
        <v>204</v>
      </c>
      <c r="F22" s="71" t="s">
        <v>46</v>
      </c>
      <c r="G22" s="71" t="s">
        <v>278</v>
      </c>
      <c r="H22" s="71" t="s">
        <v>90</v>
      </c>
      <c r="I22" s="71" t="s">
        <v>91</v>
      </c>
      <c r="J22" s="71" t="s">
        <v>42</v>
      </c>
      <c r="K22" s="71" t="s">
        <v>260</v>
      </c>
      <c r="L22" s="72"/>
    </row>
    <row r="23" spans="1:12" ht="19.899999999999999" customHeight="1">
      <c r="A23" s="117" t="s">
        <v>282</v>
      </c>
      <c r="B23" s="114">
        <v>420</v>
      </c>
      <c r="C23" s="114" t="s">
        <v>275</v>
      </c>
      <c r="D23" s="71" t="s">
        <v>196</v>
      </c>
      <c r="E23" s="71" t="s">
        <v>204</v>
      </c>
      <c r="F23" s="71" t="s">
        <v>46</v>
      </c>
      <c r="G23" s="71" t="s">
        <v>278</v>
      </c>
      <c r="H23" s="71" t="s">
        <v>90</v>
      </c>
      <c r="I23" s="71" t="s">
        <v>91</v>
      </c>
      <c r="J23" s="71" t="s">
        <v>42</v>
      </c>
      <c r="K23" s="71" t="s">
        <v>258</v>
      </c>
      <c r="L23" s="72"/>
    </row>
    <row r="24" spans="1:12" ht="19.899999999999999" customHeight="1">
      <c r="A24" s="117" t="s">
        <v>283</v>
      </c>
      <c r="B24" s="114">
        <v>1910</v>
      </c>
      <c r="C24" s="114" t="s">
        <v>275</v>
      </c>
      <c r="D24" s="71" t="s">
        <v>196</v>
      </c>
      <c r="E24" s="71" t="s">
        <v>204</v>
      </c>
      <c r="F24" s="71" t="s">
        <v>46</v>
      </c>
      <c r="G24" s="71" t="s">
        <v>278</v>
      </c>
      <c r="H24" s="71" t="s">
        <v>262</v>
      </c>
      <c r="I24" s="71" t="s">
        <v>41</v>
      </c>
      <c r="J24" s="71" t="s">
        <v>284</v>
      </c>
      <c r="K24" s="71" t="s">
        <v>263</v>
      </c>
      <c r="L24" s="72" t="s">
        <v>264</v>
      </c>
    </row>
    <row r="25" spans="1:12" ht="19.899999999999999" customHeight="1">
      <c r="A25" s="55" t="s">
        <v>285</v>
      </c>
      <c r="B25" s="56">
        <v>2260</v>
      </c>
      <c r="C25" s="56" t="s">
        <v>275</v>
      </c>
      <c r="D25" s="57" t="s">
        <v>44</v>
      </c>
      <c r="E25" s="57" t="s">
        <v>45</v>
      </c>
      <c r="F25" s="57" t="s">
        <v>46</v>
      </c>
      <c r="G25" s="57" t="s">
        <v>286</v>
      </c>
      <c r="H25" s="71" t="s">
        <v>196</v>
      </c>
      <c r="I25" s="71" t="s">
        <v>204</v>
      </c>
      <c r="J25" s="71" t="s">
        <v>46</v>
      </c>
      <c r="K25" s="71" t="s">
        <v>278</v>
      </c>
      <c r="L25" s="72"/>
    </row>
    <row r="26" spans="1:12" ht="19.899999999999999" customHeight="1">
      <c r="A26" s="55" t="s">
        <v>287</v>
      </c>
      <c r="B26" s="56">
        <v>520</v>
      </c>
      <c r="C26" s="56" t="s">
        <v>275</v>
      </c>
      <c r="D26" s="57" t="s">
        <v>44</v>
      </c>
      <c r="E26" s="57" t="s">
        <v>45</v>
      </c>
      <c r="F26" s="57" t="s">
        <v>46</v>
      </c>
      <c r="G26" s="57" t="s">
        <v>286</v>
      </c>
      <c r="H26" s="60" t="s">
        <v>196</v>
      </c>
      <c r="I26" s="60" t="s">
        <v>204</v>
      </c>
      <c r="J26" s="60" t="s">
        <v>46</v>
      </c>
      <c r="K26" s="60" t="s">
        <v>288</v>
      </c>
      <c r="L26" s="120"/>
    </row>
    <row r="27" spans="1:12" ht="19.899999999999999" customHeight="1">
      <c r="A27" s="148" t="s">
        <v>289</v>
      </c>
      <c r="B27" s="56">
        <v>300</v>
      </c>
      <c r="C27" s="56" t="s">
        <v>275</v>
      </c>
      <c r="D27" s="57" t="s">
        <v>44</v>
      </c>
      <c r="E27" s="57" t="s">
        <v>45</v>
      </c>
      <c r="F27" s="57" t="s">
        <v>46</v>
      </c>
      <c r="G27" s="57" t="s">
        <v>286</v>
      </c>
      <c r="H27" s="56" t="s">
        <v>189</v>
      </c>
      <c r="I27" s="56" t="s">
        <v>91</v>
      </c>
      <c r="J27" s="56">
        <v>5</v>
      </c>
      <c r="K27" s="56" t="s">
        <v>69</v>
      </c>
      <c r="L27" s="70"/>
    </row>
    <row r="28" spans="1:12" ht="19.899999999999999" customHeight="1">
      <c r="A28" s="148" t="s">
        <v>290</v>
      </c>
      <c r="B28" s="56">
        <v>1580</v>
      </c>
      <c r="C28" s="56" t="s">
        <v>275</v>
      </c>
      <c r="D28" s="57" t="s">
        <v>44</v>
      </c>
      <c r="E28" s="57" t="s">
        <v>45</v>
      </c>
      <c r="F28" s="57" t="s">
        <v>46</v>
      </c>
      <c r="G28" s="57" t="s">
        <v>286</v>
      </c>
      <c r="H28" s="56" t="s">
        <v>189</v>
      </c>
      <c r="I28" s="56" t="s">
        <v>91</v>
      </c>
      <c r="J28" s="56">
        <v>5</v>
      </c>
      <c r="K28" s="56" t="s">
        <v>154</v>
      </c>
      <c r="L28" s="70"/>
    </row>
    <row r="29" spans="1:12" ht="19.899999999999999" customHeight="1">
      <c r="A29" s="148" t="s">
        <v>291</v>
      </c>
      <c r="B29" s="56">
        <v>390</v>
      </c>
      <c r="C29" s="56" t="s">
        <v>275</v>
      </c>
      <c r="D29" s="57" t="s">
        <v>90</v>
      </c>
      <c r="E29" s="57" t="s">
        <v>91</v>
      </c>
      <c r="F29" s="57" t="s">
        <v>292</v>
      </c>
      <c r="G29" s="152" t="s">
        <v>217</v>
      </c>
      <c r="H29" s="57" t="s">
        <v>44</v>
      </c>
      <c r="I29" s="57" t="s">
        <v>45</v>
      </c>
      <c r="J29" s="57" t="s">
        <v>46</v>
      </c>
      <c r="K29" s="57" t="s">
        <v>286</v>
      </c>
      <c r="L29" s="70"/>
    </row>
    <row r="30" spans="1:12" ht="19.899999999999999" customHeight="1">
      <c r="A30" s="148" t="s">
        <v>293</v>
      </c>
      <c r="B30" s="56">
        <v>1200</v>
      </c>
      <c r="C30" s="56" t="s">
        <v>275</v>
      </c>
      <c r="D30" s="57" t="s">
        <v>90</v>
      </c>
      <c r="E30" s="57" t="s">
        <v>91</v>
      </c>
      <c r="F30" s="56">
        <v>2</v>
      </c>
      <c r="G30" s="56" t="s">
        <v>294</v>
      </c>
      <c r="H30" s="57" t="s">
        <v>44</v>
      </c>
      <c r="I30" s="57" t="s">
        <v>45</v>
      </c>
      <c r="J30" s="57" t="s">
        <v>46</v>
      </c>
      <c r="K30" s="57" t="s">
        <v>286</v>
      </c>
      <c r="L30" s="70"/>
    </row>
    <row r="31" spans="1:12" ht="19.899999999999999" customHeight="1">
      <c r="A31" s="148" t="s">
        <v>295</v>
      </c>
      <c r="B31" s="56">
        <v>1400</v>
      </c>
      <c r="C31" s="56" t="s">
        <v>275</v>
      </c>
      <c r="D31" s="56" t="s">
        <v>246</v>
      </c>
      <c r="E31" s="56" t="s">
        <v>41</v>
      </c>
      <c r="F31" s="56" t="s">
        <v>212</v>
      </c>
      <c r="G31" s="56" t="s">
        <v>247</v>
      </c>
      <c r="H31" s="57" t="s">
        <v>44</v>
      </c>
      <c r="I31" s="57" t="s">
        <v>45</v>
      </c>
      <c r="J31" s="57" t="s">
        <v>46</v>
      </c>
      <c r="K31" s="57" t="s">
        <v>286</v>
      </c>
      <c r="L31" s="153" t="s">
        <v>249</v>
      </c>
    </row>
    <row r="32" spans="1:12" ht="19.899999999999999" customHeight="1" thickBot="1">
      <c r="A32" s="208" t="s">
        <v>296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  <mergeCell ref="J3:K3"/>
    <mergeCell ref="A1:B2"/>
    <mergeCell ref="C1:E2"/>
    <mergeCell ref="F1:G1"/>
    <mergeCell ref="F2:G2"/>
    <mergeCell ref="B3:D3"/>
  </mergeCells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3682-CA21-40DE-870A-515FA071A958}">
  <dimension ref="A1:L35"/>
  <sheetViews>
    <sheetView showGridLines="0" topLeftCell="A4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1.42578125" style="4" bestFit="1" customWidth="1"/>
    <col min="7" max="7" width="22.28515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4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297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49" t="s">
        <v>298</v>
      </c>
      <c r="B7" s="150">
        <v>2510</v>
      </c>
      <c r="C7" s="150" t="s">
        <v>275</v>
      </c>
      <c r="D7" s="141" t="s">
        <v>196</v>
      </c>
      <c r="E7" s="141" t="s">
        <v>204</v>
      </c>
      <c r="F7" s="141" t="s">
        <v>46</v>
      </c>
      <c r="G7" s="141" t="s">
        <v>288</v>
      </c>
      <c r="H7" s="142" t="s">
        <v>189</v>
      </c>
      <c r="I7" s="142" t="s">
        <v>91</v>
      </c>
      <c r="J7" s="142">
        <v>7</v>
      </c>
      <c r="K7" s="141" t="s">
        <v>270</v>
      </c>
      <c r="L7" s="151"/>
    </row>
    <row r="8" spans="1:12" ht="19.899999999999999" customHeight="1">
      <c r="A8" s="58" t="s">
        <v>299</v>
      </c>
      <c r="B8" s="118">
        <v>2510</v>
      </c>
      <c r="C8" s="118" t="s">
        <v>275</v>
      </c>
      <c r="D8" s="60" t="s">
        <v>196</v>
      </c>
      <c r="E8" s="60" t="s">
        <v>204</v>
      </c>
      <c r="F8" s="60" t="s">
        <v>46</v>
      </c>
      <c r="G8" s="60" t="s">
        <v>288</v>
      </c>
      <c r="H8" s="60" t="s">
        <v>189</v>
      </c>
      <c r="I8" s="60" t="s">
        <v>91</v>
      </c>
      <c r="J8" s="60" t="s">
        <v>220</v>
      </c>
      <c r="K8" s="60" t="s">
        <v>272</v>
      </c>
      <c r="L8" s="119"/>
    </row>
    <row r="9" spans="1:12" ht="19.899999999999999" customHeight="1">
      <c r="A9" s="78" t="s">
        <v>300</v>
      </c>
      <c r="B9" s="2">
        <v>3610</v>
      </c>
      <c r="C9" s="2" t="s">
        <v>301</v>
      </c>
      <c r="D9" s="2" t="s">
        <v>189</v>
      </c>
      <c r="E9" s="2" t="s">
        <v>91</v>
      </c>
      <c r="F9" s="2">
        <v>10</v>
      </c>
      <c r="G9" s="79" t="s">
        <v>164</v>
      </c>
      <c r="H9" s="79" t="s">
        <v>90</v>
      </c>
      <c r="I9" s="79" t="s">
        <v>91</v>
      </c>
      <c r="J9" s="79" t="s">
        <v>302</v>
      </c>
      <c r="K9" s="134" t="s">
        <v>217</v>
      </c>
      <c r="L9" s="81"/>
    </row>
    <row r="10" spans="1:12" ht="19.899999999999999" customHeight="1">
      <c r="A10" s="78" t="s">
        <v>303</v>
      </c>
      <c r="B10" s="2">
        <v>3610</v>
      </c>
      <c r="C10" s="2" t="s">
        <v>301</v>
      </c>
      <c r="D10" s="2" t="s">
        <v>189</v>
      </c>
      <c r="E10" s="2" t="s">
        <v>91</v>
      </c>
      <c r="F10" s="2">
        <v>11</v>
      </c>
      <c r="G10" s="79" t="s">
        <v>164</v>
      </c>
      <c r="H10" s="79" t="s">
        <v>90</v>
      </c>
      <c r="I10" s="79" t="s">
        <v>91</v>
      </c>
      <c r="J10" s="79" t="s">
        <v>304</v>
      </c>
      <c r="K10" s="134" t="s">
        <v>217</v>
      </c>
      <c r="L10" s="81"/>
    </row>
    <row r="11" spans="1:12" ht="19.899999999999999" customHeight="1">
      <c r="A11" s="78" t="s">
        <v>305</v>
      </c>
      <c r="B11" s="2">
        <v>1180</v>
      </c>
      <c r="C11" s="2" t="s">
        <v>185</v>
      </c>
      <c r="D11" s="79" t="s">
        <v>90</v>
      </c>
      <c r="E11" s="79" t="s">
        <v>91</v>
      </c>
      <c r="F11" s="79" t="s">
        <v>173</v>
      </c>
      <c r="G11" s="134" t="s">
        <v>217</v>
      </c>
      <c r="H11" s="79" t="s">
        <v>50</v>
      </c>
      <c r="I11" s="79" t="s">
        <v>41</v>
      </c>
      <c r="J11" s="79" t="s">
        <v>306</v>
      </c>
      <c r="K11" s="79" t="s">
        <v>43</v>
      </c>
      <c r="L11" s="81" t="s">
        <v>48</v>
      </c>
    </row>
    <row r="12" spans="1:12" ht="19.899999999999999" customHeight="1">
      <c r="A12" s="78" t="s">
        <v>307</v>
      </c>
      <c r="B12" s="2">
        <v>4230</v>
      </c>
      <c r="C12" s="2" t="s">
        <v>308</v>
      </c>
      <c r="D12" s="79" t="s">
        <v>90</v>
      </c>
      <c r="E12" s="79" t="s">
        <v>91</v>
      </c>
      <c r="F12" s="79" t="s">
        <v>309</v>
      </c>
      <c r="G12" s="134" t="s">
        <v>217</v>
      </c>
      <c r="H12" s="79" t="s">
        <v>194</v>
      </c>
      <c r="I12" s="79" t="s">
        <v>91</v>
      </c>
      <c r="J12" s="79" t="s">
        <v>310</v>
      </c>
      <c r="K12" s="79" t="s">
        <v>169</v>
      </c>
      <c r="L12" s="81"/>
    </row>
    <row r="13" spans="1:12" ht="19.5" customHeight="1">
      <c r="A13" s="78" t="s">
        <v>311</v>
      </c>
      <c r="B13" s="2">
        <v>1310</v>
      </c>
      <c r="C13" s="2" t="s">
        <v>301</v>
      </c>
      <c r="D13" s="79" t="s">
        <v>90</v>
      </c>
      <c r="E13" s="79" t="s">
        <v>91</v>
      </c>
      <c r="F13" s="79" t="s">
        <v>312</v>
      </c>
      <c r="G13" s="134" t="s">
        <v>217</v>
      </c>
      <c r="H13" s="79" t="s">
        <v>90</v>
      </c>
      <c r="I13" s="79" t="s">
        <v>91</v>
      </c>
      <c r="J13" s="2">
        <v>4</v>
      </c>
      <c r="K13" s="2" t="s">
        <v>313</v>
      </c>
      <c r="L13" s="81"/>
    </row>
    <row r="14" spans="1:12" ht="19.5" customHeight="1">
      <c r="A14" s="78" t="s">
        <v>314</v>
      </c>
      <c r="B14" s="2">
        <v>4510</v>
      </c>
      <c r="C14" s="2" t="s">
        <v>308</v>
      </c>
      <c r="D14" s="79" t="s">
        <v>90</v>
      </c>
      <c r="E14" s="79" t="s">
        <v>91</v>
      </c>
      <c r="F14" s="79" t="s">
        <v>57</v>
      </c>
      <c r="G14" s="134" t="s">
        <v>217</v>
      </c>
      <c r="H14" s="79" t="s">
        <v>262</v>
      </c>
      <c r="I14" s="79" t="s">
        <v>41</v>
      </c>
      <c r="J14" s="79" t="s">
        <v>62</v>
      </c>
      <c r="K14" s="79" t="s">
        <v>263</v>
      </c>
      <c r="L14" s="81" t="s">
        <v>264</v>
      </c>
    </row>
    <row r="15" spans="1:12" ht="19.899999999999999" customHeight="1">
      <c r="A15" s="78" t="s">
        <v>315</v>
      </c>
      <c r="B15" s="2">
        <v>2040</v>
      </c>
      <c r="C15" s="2" t="s">
        <v>308</v>
      </c>
      <c r="D15" s="79" t="s">
        <v>90</v>
      </c>
      <c r="E15" s="79" t="s">
        <v>91</v>
      </c>
      <c r="F15" s="79" t="s">
        <v>316</v>
      </c>
      <c r="G15" s="134" t="s">
        <v>217</v>
      </c>
      <c r="H15" s="110" t="s">
        <v>189</v>
      </c>
      <c r="I15" s="110" t="s">
        <v>91</v>
      </c>
      <c r="J15" s="110">
        <v>8</v>
      </c>
      <c r="K15" s="135" t="s">
        <v>272</v>
      </c>
      <c r="L15" s="81"/>
    </row>
    <row r="16" spans="1:12" ht="19.899999999999999" customHeight="1">
      <c r="A16" s="78" t="s">
        <v>317</v>
      </c>
      <c r="B16" s="2">
        <v>3380</v>
      </c>
      <c r="C16" s="2" t="s">
        <v>308</v>
      </c>
      <c r="D16" s="79" t="s">
        <v>90</v>
      </c>
      <c r="E16" s="79" t="s">
        <v>91</v>
      </c>
      <c r="F16" s="79" t="s">
        <v>310</v>
      </c>
      <c r="G16" s="134" t="s">
        <v>217</v>
      </c>
      <c r="H16" s="110" t="s">
        <v>189</v>
      </c>
      <c r="I16" s="110" t="s">
        <v>91</v>
      </c>
      <c r="J16" s="110">
        <v>8</v>
      </c>
      <c r="K16" s="135" t="s">
        <v>270</v>
      </c>
      <c r="L16" s="81"/>
    </row>
    <row r="17" spans="1:12" ht="19.899999999999999" customHeight="1">
      <c r="A17" s="78" t="s">
        <v>318</v>
      </c>
      <c r="B17" s="2">
        <v>670</v>
      </c>
      <c r="C17" s="2" t="s">
        <v>308</v>
      </c>
      <c r="D17" s="79" t="s">
        <v>90</v>
      </c>
      <c r="E17" s="79" t="s">
        <v>91</v>
      </c>
      <c r="F17" s="79" t="s">
        <v>319</v>
      </c>
      <c r="G17" s="134" t="s">
        <v>217</v>
      </c>
      <c r="H17" s="2" t="s">
        <v>189</v>
      </c>
      <c r="I17" s="2" t="s">
        <v>91</v>
      </c>
      <c r="J17" s="2">
        <v>6</v>
      </c>
      <c r="K17" s="2" t="s">
        <v>69</v>
      </c>
      <c r="L17" s="81"/>
    </row>
    <row r="18" spans="1:12" ht="19.899999999999999" customHeight="1">
      <c r="A18" s="78" t="s">
        <v>320</v>
      </c>
      <c r="B18" s="2">
        <v>1310</v>
      </c>
      <c r="C18" s="2" t="s">
        <v>301</v>
      </c>
      <c r="D18" s="79" t="s">
        <v>90</v>
      </c>
      <c r="E18" s="79" t="s">
        <v>91</v>
      </c>
      <c r="F18" s="79" t="s">
        <v>321</v>
      </c>
      <c r="G18" s="134" t="s">
        <v>217</v>
      </c>
      <c r="H18" s="79" t="s">
        <v>90</v>
      </c>
      <c r="I18" s="79" t="s">
        <v>91</v>
      </c>
      <c r="J18" s="2">
        <v>3</v>
      </c>
      <c r="K18" s="2" t="s">
        <v>313</v>
      </c>
      <c r="L18" s="81"/>
    </row>
    <row r="19" spans="1:12" ht="19.899999999999999" customHeight="1">
      <c r="A19" s="78" t="s">
        <v>322</v>
      </c>
      <c r="B19" s="2">
        <v>1670</v>
      </c>
      <c r="C19" s="2" t="s">
        <v>323</v>
      </c>
      <c r="D19" s="79" t="s">
        <v>90</v>
      </c>
      <c r="E19" s="79" t="s">
        <v>91</v>
      </c>
      <c r="F19" s="79" t="s">
        <v>324</v>
      </c>
      <c r="G19" s="134" t="s">
        <v>217</v>
      </c>
      <c r="H19" s="79" t="s">
        <v>189</v>
      </c>
      <c r="I19" s="79" t="s">
        <v>91</v>
      </c>
      <c r="J19" s="79" t="s">
        <v>42</v>
      </c>
      <c r="K19" s="79" t="s">
        <v>325</v>
      </c>
      <c r="L19" s="81"/>
    </row>
    <row r="20" spans="1:12" ht="19.899999999999999" customHeight="1">
      <c r="A20" s="78" t="s">
        <v>326</v>
      </c>
      <c r="B20" s="2">
        <v>1670</v>
      </c>
      <c r="C20" s="2" t="s">
        <v>323</v>
      </c>
      <c r="D20" s="79" t="s">
        <v>90</v>
      </c>
      <c r="E20" s="79" t="s">
        <v>91</v>
      </c>
      <c r="F20" s="79" t="s">
        <v>327</v>
      </c>
      <c r="G20" s="134" t="s">
        <v>217</v>
      </c>
      <c r="H20" s="79" t="s">
        <v>189</v>
      </c>
      <c r="I20" s="79" t="s">
        <v>91</v>
      </c>
      <c r="J20" s="79" t="s">
        <v>42</v>
      </c>
      <c r="K20" s="79" t="s">
        <v>328</v>
      </c>
      <c r="L20" s="81"/>
    </row>
    <row r="21" spans="1:12" ht="19.899999999999999" customHeight="1">
      <c r="A21" s="78" t="s">
        <v>329</v>
      </c>
      <c r="B21" s="2">
        <v>1810</v>
      </c>
      <c r="C21" s="2" t="s">
        <v>330</v>
      </c>
      <c r="D21" s="79" t="s">
        <v>90</v>
      </c>
      <c r="E21" s="79" t="s">
        <v>91</v>
      </c>
      <c r="F21" s="79" t="s">
        <v>331</v>
      </c>
      <c r="G21" s="134" t="s">
        <v>217</v>
      </c>
      <c r="H21" s="79" t="s">
        <v>189</v>
      </c>
      <c r="I21" s="79" t="s">
        <v>91</v>
      </c>
      <c r="J21" s="79" t="s">
        <v>173</v>
      </c>
      <c r="K21" s="79" t="s">
        <v>332</v>
      </c>
      <c r="L21" s="81"/>
    </row>
    <row r="22" spans="1:12" ht="19.899999999999999" customHeight="1">
      <c r="A22" s="78" t="s">
        <v>333</v>
      </c>
      <c r="B22" s="2">
        <v>4230</v>
      </c>
      <c r="C22" s="2" t="s">
        <v>334</v>
      </c>
      <c r="D22" s="79" t="s">
        <v>90</v>
      </c>
      <c r="E22" s="79" t="s">
        <v>91</v>
      </c>
      <c r="F22" s="79" t="s">
        <v>335</v>
      </c>
      <c r="G22" s="134" t="s">
        <v>217</v>
      </c>
      <c r="H22" s="79" t="s">
        <v>194</v>
      </c>
      <c r="I22" s="79" t="s">
        <v>91</v>
      </c>
      <c r="J22" s="79" t="s">
        <v>302</v>
      </c>
      <c r="K22" s="79" t="s">
        <v>169</v>
      </c>
      <c r="L22" s="81"/>
    </row>
    <row r="23" spans="1:12" ht="19.899999999999999" customHeight="1">
      <c r="A23" s="78" t="s">
        <v>336</v>
      </c>
      <c r="B23" s="2">
        <v>4230</v>
      </c>
      <c r="C23" s="2" t="s">
        <v>308</v>
      </c>
      <c r="D23" s="79" t="s">
        <v>90</v>
      </c>
      <c r="E23" s="79" t="s">
        <v>91</v>
      </c>
      <c r="F23" s="79" t="s">
        <v>337</v>
      </c>
      <c r="G23" s="134" t="s">
        <v>217</v>
      </c>
      <c r="H23" s="79" t="s">
        <v>194</v>
      </c>
      <c r="I23" s="79" t="s">
        <v>91</v>
      </c>
      <c r="J23" s="79" t="s">
        <v>292</v>
      </c>
      <c r="K23" s="79" t="s">
        <v>169</v>
      </c>
      <c r="L23" s="81"/>
    </row>
    <row r="24" spans="1:12" ht="19.899999999999999" customHeight="1">
      <c r="A24" s="78" t="s">
        <v>338</v>
      </c>
      <c r="B24" s="2">
        <v>1180</v>
      </c>
      <c r="C24" s="2" t="s">
        <v>339</v>
      </c>
      <c r="D24" s="79" t="s">
        <v>90</v>
      </c>
      <c r="E24" s="79" t="s">
        <v>91</v>
      </c>
      <c r="F24" s="79" t="s">
        <v>340</v>
      </c>
      <c r="G24" s="134" t="s">
        <v>217</v>
      </c>
      <c r="H24" s="79" t="s">
        <v>50</v>
      </c>
      <c r="I24" s="79" t="s">
        <v>41</v>
      </c>
      <c r="J24" s="79" t="s">
        <v>316</v>
      </c>
      <c r="K24" s="79" t="s">
        <v>43</v>
      </c>
      <c r="L24" s="81" t="s">
        <v>48</v>
      </c>
    </row>
    <row r="25" spans="1:12" ht="19.899999999999999" customHeight="1">
      <c r="A25" s="78" t="s">
        <v>341</v>
      </c>
      <c r="B25" s="2">
        <v>4230</v>
      </c>
      <c r="C25" s="2" t="s">
        <v>308</v>
      </c>
      <c r="D25" s="79" t="s">
        <v>90</v>
      </c>
      <c r="E25" s="79" t="s">
        <v>91</v>
      </c>
      <c r="F25" s="79" t="s">
        <v>342</v>
      </c>
      <c r="G25" s="134" t="s">
        <v>217</v>
      </c>
      <c r="H25" s="79" t="s">
        <v>194</v>
      </c>
      <c r="I25" s="79" t="s">
        <v>91</v>
      </c>
      <c r="J25" s="79" t="s">
        <v>237</v>
      </c>
      <c r="K25" s="79" t="s">
        <v>169</v>
      </c>
      <c r="L25" s="81"/>
    </row>
    <row r="26" spans="1:12" ht="19.899999999999999" customHeight="1">
      <c r="A26" s="78" t="s">
        <v>343</v>
      </c>
      <c r="B26" s="2">
        <v>1520</v>
      </c>
      <c r="C26" s="2" t="s">
        <v>339</v>
      </c>
      <c r="D26" s="79" t="s">
        <v>90</v>
      </c>
      <c r="E26" s="79" t="s">
        <v>91</v>
      </c>
      <c r="F26" s="79" t="s">
        <v>344</v>
      </c>
      <c r="G26" s="134" t="s">
        <v>217</v>
      </c>
      <c r="H26" s="79" t="s">
        <v>189</v>
      </c>
      <c r="I26" s="79" t="s">
        <v>91</v>
      </c>
      <c r="J26" s="79" t="s">
        <v>173</v>
      </c>
      <c r="K26" s="79" t="s">
        <v>345</v>
      </c>
      <c r="L26" s="81"/>
    </row>
    <row r="27" spans="1:12" ht="19.899999999999999" customHeight="1">
      <c r="A27" s="82" t="s">
        <v>346</v>
      </c>
      <c r="B27" s="2">
        <v>1300</v>
      </c>
      <c r="C27" s="2" t="s">
        <v>339</v>
      </c>
      <c r="D27" s="79" t="s">
        <v>90</v>
      </c>
      <c r="E27" s="79" t="s">
        <v>91</v>
      </c>
      <c r="F27" s="79" t="s">
        <v>347</v>
      </c>
      <c r="G27" s="134" t="s">
        <v>217</v>
      </c>
      <c r="H27" s="79" t="s">
        <v>189</v>
      </c>
      <c r="I27" s="79" t="s">
        <v>91</v>
      </c>
      <c r="J27" s="79" t="s">
        <v>173</v>
      </c>
      <c r="K27" s="79" t="s">
        <v>348</v>
      </c>
      <c r="L27" s="81"/>
    </row>
    <row r="28" spans="1:12" ht="19.899999999999999" customHeight="1">
      <c r="A28" s="82" t="s">
        <v>349</v>
      </c>
      <c r="B28" s="2">
        <v>1340</v>
      </c>
      <c r="C28" s="2" t="s">
        <v>339</v>
      </c>
      <c r="D28" s="79" t="s">
        <v>90</v>
      </c>
      <c r="E28" s="79" t="s">
        <v>91</v>
      </c>
      <c r="F28" s="79" t="s">
        <v>350</v>
      </c>
      <c r="G28" s="134" t="s">
        <v>217</v>
      </c>
      <c r="H28" s="79" t="s">
        <v>189</v>
      </c>
      <c r="I28" s="79" t="s">
        <v>91</v>
      </c>
      <c r="J28" s="79" t="s">
        <v>173</v>
      </c>
      <c r="K28" s="79" t="s">
        <v>351</v>
      </c>
      <c r="L28" s="81"/>
    </row>
    <row r="29" spans="1:12" ht="19.899999999999999" customHeight="1">
      <c r="A29" s="82" t="s">
        <v>352</v>
      </c>
      <c r="B29" s="2">
        <v>1250</v>
      </c>
      <c r="C29" s="2" t="s">
        <v>339</v>
      </c>
      <c r="D29" s="79" t="s">
        <v>90</v>
      </c>
      <c r="E29" s="79" t="s">
        <v>91</v>
      </c>
      <c r="F29" s="79" t="s">
        <v>353</v>
      </c>
      <c r="G29" s="134" t="s">
        <v>217</v>
      </c>
      <c r="H29" s="79" t="s">
        <v>189</v>
      </c>
      <c r="I29" s="79" t="s">
        <v>91</v>
      </c>
      <c r="J29" s="79" t="s">
        <v>173</v>
      </c>
      <c r="K29" s="79" t="s">
        <v>354</v>
      </c>
      <c r="L29" s="81"/>
    </row>
    <row r="30" spans="1:12" ht="19.899999999999999" customHeight="1">
      <c r="A30" s="82" t="s">
        <v>355</v>
      </c>
      <c r="B30" s="2">
        <v>1390</v>
      </c>
      <c r="C30" s="2" t="s">
        <v>339</v>
      </c>
      <c r="D30" s="79" t="s">
        <v>90</v>
      </c>
      <c r="E30" s="79" t="s">
        <v>91</v>
      </c>
      <c r="F30" s="79" t="s">
        <v>356</v>
      </c>
      <c r="G30" s="134" t="s">
        <v>217</v>
      </c>
      <c r="H30" s="79" t="s">
        <v>189</v>
      </c>
      <c r="I30" s="79" t="s">
        <v>91</v>
      </c>
      <c r="J30" s="79" t="s">
        <v>173</v>
      </c>
      <c r="K30" s="79" t="s">
        <v>357</v>
      </c>
      <c r="L30" s="81"/>
    </row>
    <row r="31" spans="1:12" ht="19.899999999999999" customHeight="1">
      <c r="A31" s="82" t="s">
        <v>358</v>
      </c>
      <c r="B31" s="2">
        <v>1470</v>
      </c>
      <c r="C31" s="2" t="s">
        <v>339</v>
      </c>
      <c r="D31" s="79" t="s">
        <v>90</v>
      </c>
      <c r="E31" s="79" t="s">
        <v>91</v>
      </c>
      <c r="F31" s="79" t="s">
        <v>359</v>
      </c>
      <c r="G31" s="134" t="s">
        <v>217</v>
      </c>
      <c r="H31" s="79" t="s">
        <v>189</v>
      </c>
      <c r="I31" s="79" t="s">
        <v>91</v>
      </c>
      <c r="J31" s="79" t="s">
        <v>173</v>
      </c>
      <c r="K31" s="79" t="s">
        <v>360</v>
      </c>
      <c r="L31" s="81"/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  <mergeCell ref="J3:K3"/>
    <mergeCell ref="A1:B2"/>
    <mergeCell ref="C1:E2"/>
    <mergeCell ref="F1:G1"/>
    <mergeCell ref="F2:G2"/>
    <mergeCell ref="B3:D3"/>
  </mergeCells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D819-7CBB-4F61-9F45-D98E647012CB}">
  <dimension ref="A1:L35"/>
  <sheetViews>
    <sheetView showGridLines="0" topLeftCell="A16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1.42578125" style="4" bestFit="1" customWidth="1"/>
    <col min="7" max="7" width="22.28515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4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361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55" t="s">
        <v>362</v>
      </c>
      <c r="B7" s="111">
        <v>1330</v>
      </c>
      <c r="C7" s="111" t="s">
        <v>339</v>
      </c>
      <c r="D7" s="79" t="s">
        <v>90</v>
      </c>
      <c r="E7" s="79" t="s">
        <v>91</v>
      </c>
      <c r="F7" s="79" t="s">
        <v>363</v>
      </c>
      <c r="G7" s="134" t="s">
        <v>217</v>
      </c>
      <c r="H7" s="79" t="s">
        <v>189</v>
      </c>
      <c r="I7" s="79" t="s">
        <v>91</v>
      </c>
      <c r="J7" s="79" t="s">
        <v>173</v>
      </c>
      <c r="K7" s="79" t="s">
        <v>364</v>
      </c>
      <c r="L7" s="156"/>
    </row>
    <row r="8" spans="1:12" ht="19.899999999999999" customHeight="1">
      <c r="A8" s="78" t="s">
        <v>365</v>
      </c>
      <c r="B8" s="157">
        <v>670</v>
      </c>
      <c r="C8" s="157" t="s">
        <v>366</v>
      </c>
      <c r="D8" s="79" t="s">
        <v>90</v>
      </c>
      <c r="E8" s="79" t="s">
        <v>91</v>
      </c>
      <c r="F8" s="79" t="s">
        <v>367</v>
      </c>
      <c r="G8" s="79" t="s">
        <v>92</v>
      </c>
      <c r="H8" s="2" t="s">
        <v>189</v>
      </c>
      <c r="I8" s="2" t="s">
        <v>91</v>
      </c>
      <c r="J8" s="2">
        <v>2</v>
      </c>
      <c r="K8" s="2" t="s">
        <v>69</v>
      </c>
      <c r="L8" s="158"/>
    </row>
    <row r="9" spans="1:12" ht="19.899999999999999" customHeight="1">
      <c r="A9" s="78" t="s">
        <v>368</v>
      </c>
      <c r="B9" s="2">
        <v>1940</v>
      </c>
      <c r="C9" s="2" t="s">
        <v>366</v>
      </c>
      <c r="D9" s="79" t="s">
        <v>90</v>
      </c>
      <c r="E9" s="79" t="s">
        <v>91</v>
      </c>
      <c r="F9" s="79" t="s">
        <v>369</v>
      </c>
      <c r="G9" s="79" t="s">
        <v>92</v>
      </c>
      <c r="H9" s="2" t="s">
        <v>189</v>
      </c>
      <c r="I9" s="2" t="s">
        <v>91</v>
      </c>
      <c r="J9" s="2">
        <v>2</v>
      </c>
      <c r="K9" s="2" t="s">
        <v>154</v>
      </c>
      <c r="L9" s="81"/>
    </row>
    <row r="10" spans="1:12" ht="19.899999999999999" customHeight="1">
      <c r="A10" s="78" t="s">
        <v>370</v>
      </c>
      <c r="B10" s="2">
        <v>1330</v>
      </c>
      <c r="C10" s="2" t="s">
        <v>172</v>
      </c>
      <c r="D10" s="79" t="s">
        <v>90</v>
      </c>
      <c r="E10" s="79" t="s">
        <v>91</v>
      </c>
      <c r="F10" s="79" t="s">
        <v>371</v>
      </c>
      <c r="G10" s="79" t="s">
        <v>92</v>
      </c>
      <c r="H10" s="79" t="s">
        <v>189</v>
      </c>
      <c r="I10" s="79" t="s">
        <v>91</v>
      </c>
      <c r="J10" s="79" t="s">
        <v>173</v>
      </c>
      <c r="K10" s="79" t="s">
        <v>140</v>
      </c>
      <c r="L10" s="81"/>
    </row>
    <row r="11" spans="1:12" ht="19.899999999999999" customHeight="1">
      <c r="A11" s="78" t="s">
        <v>372</v>
      </c>
      <c r="B11" s="2">
        <v>1330</v>
      </c>
      <c r="C11" s="2" t="s">
        <v>172</v>
      </c>
      <c r="D11" s="79" t="s">
        <v>90</v>
      </c>
      <c r="E11" s="79" t="s">
        <v>91</v>
      </c>
      <c r="F11" s="79" t="s">
        <v>373</v>
      </c>
      <c r="G11" s="79" t="s">
        <v>92</v>
      </c>
      <c r="H11" s="79" t="s">
        <v>189</v>
      </c>
      <c r="I11" s="79" t="s">
        <v>91</v>
      </c>
      <c r="J11" s="79" t="s">
        <v>173</v>
      </c>
      <c r="K11" s="79" t="s">
        <v>142</v>
      </c>
      <c r="L11" s="81"/>
    </row>
    <row r="12" spans="1:12" ht="19.899999999999999" customHeight="1">
      <c r="A12" s="78" t="s">
        <v>374</v>
      </c>
      <c r="B12" s="2">
        <v>1940</v>
      </c>
      <c r="C12" s="2" t="s">
        <v>172</v>
      </c>
      <c r="D12" s="79" t="s">
        <v>90</v>
      </c>
      <c r="E12" s="79" t="s">
        <v>91</v>
      </c>
      <c r="F12" s="79" t="s">
        <v>375</v>
      </c>
      <c r="G12" s="79" t="s">
        <v>92</v>
      </c>
      <c r="H12" s="79" t="s">
        <v>189</v>
      </c>
      <c r="I12" s="79" t="s">
        <v>91</v>
      </c>
      <c r="J12" s="79" t="s">
        <v>173</v>
      </c>
      <c r="K12" s="79" t="s">
        <v>158</v>
      </c>
      <c r="L12" s="81"/>
    </row>
    <row r="13" spans="1:12" ht="19.5" customHeight="1">
      <c r="A13" s="78" t="s">
        <v>376</v>
      </c>
      <c r="B13" s="2">
        <v>1940</v>
      </c>
      <c r="C13" s="2" t="s">
        <v>301</v>
      </c>
      <c r="D13" s="2" t="s">
        <v>189</v>
      </c>
      <c r="E13" s="2" t="s">
        <v>91</v>
      </c>
      <c r="F13" s="2">
        <v>4</v>
      </c>
      <c r="G13" s="2" t="s">
        <v>154</v>
      </c>
      <c r="H13" s="2" t="s">
        <v>90</v>
      </c>
      <c r="I13" s="2" t="s">
        <v>41</v>
      </c>
      <c r="J13" s="2">
        <v>1</v>
      </c>
      <c r="K13" s="2" t="s">
        <v>190</v>
      </c>
      <c r="L13" s="81"/>
    </row>
    <row r="14" spans="1:12" ht="19.5" customHeight="1">
      <c r="A14" s="78" t="s">
        <v>377</v>
      </c>
      <c r="B14" s="2">
        <v>660</v>
      </c>
      <c r="C14" s="2" t="s">
        <v>301</v>
      </c>
      <c r="D14" s="2" t="s">
        <v>90</v>
      </c>
      <c r="E14" s="2" t="s">
        <v>41</v>
      </c>
      <c r="F14" s="2">
        <v>2</v>
      </c>
      <c r="G14" s="2" t="s">
        <v>190</v>
      </c>
      <c r="H14" s="2" t="s">
        <v>189</v>
      </c>
      <c r="I14" s="2" t="s">
        <v>91</v>
      </c>
      <c r="J14" s="2">
        <v>4</v>
      </c>
      <c r="K14" s="2" t="s">
        <v>69</v>
      </c>
      <c r="L14" s="81"/>
    </row>
    <row r="15" spans="1:12" ht="19.899999999999999" customHeight="1">
      <c r="A15" s="78" t="s">
        <v>378</v>
      </c>
      <c r="B15" s="2">
        <v>3000</v>
      </c>
      <c r="C15" s="2" t="s">
        <v>301</v>
      </c>
      <c r="D15" s="2" t="s">
        <v>90</v>
      </c>
      <c r="E15" s="2" t="s">
        <v>41</v>
      </c>
      <c r="F15" s="2">
        <v>3</v>
      </c>
      <c r="G15" s="2" t="s">
        <v>190</v>
      </c>
      <c r="H15" s="79" t="s">
        <v>90</v>
      </c>
      <c r="I15" s="79" t="s">
        <v>91</v>
      </c>
      <c r="J15" s="79" t="s">
        <v>53</v>
      </c>
      <c r="K15" s="79" t="s">
        <v>258</v>
      </c>
      <c r="L15" s="81"/>
    </row>
    <row r="16" spans="1:12" ht="19.899999999999999" customHeight="1">
      <c r="A16" s="78" t="s">
        <v>379</v>
      </c>
      <c r="B16" s="2">
        <v>3000</v>
      </c>
      <c r="C16" s="2" t="s">
        <v>301</v>
      </c>
      <c r="D16" s="2" t="s">
        <v>90</v>
      </c>
      <c r="E16" s="2" t="s">
        <v>41</v>
      </c>
      <c r="F16" s="2">
        <v>4</v>
      </c>
      <c r="G16" s="2" t="s">
        <v>190</v>
      </c>
      <c r="H16" s="79" t="s">
        <v>90</v>
      </c>
      <c r="I16" s="79" t="s">
        <v>91</v>
      </c>
      <c r="J16" s="79" t="s">
        <v>51</v>
      </c>
      <c r="K16" s="79" t="s">
        <v>258</v>
      </c>
      <c r="L16" s="81"/>
    </row>
    <row r="17" spans="1:12" ht="19.899999999999999" customHeight="1">
      <c r="A17" s="78" t="s">
        <v>380</v>
      </c>
      <c r="B17" s="2">
        <v>3000</v>
      </c>
      <c r="C17" s="2" t="s">
        <v>301</v>
      </c>
      <c r="D17" s="2" t="s">
        <v>90</v>
      </c>
      <c r="E17" s="2" t="s">
        <v>41</v>
      </c>
      <c r="F17" s="2">
        <v>5</v>
      </c>
      <c r="G17" s="2" t="s">
        <v>190</v>
      </c>
      <c r="H17" s="79" t="s">
        <v>90</v>
      </c>
      <c r="I17" s="79" t="s">
        <v>91</v>
      </c>
      <c r="J17" s="79" t="s">
        <v>381</v>
      </c>
      <c r="K17" s="79" t="s">
        <v>258</v>
      </c>
      <c r="L17" s="81"/>
    </row>
    <row r="18" spans="1:12" ht="19.899999999999999" customHeight="1">
      <c r="A18" s="78" t="s">
        <v>382</v>
      </c>
      <c r="B18" s="2">
        <v>4840</v>
      </c>
      <c r="C18" s="2" t="s">
        <v>301</v>
      </c>
      <c r="D18" s="2" t="s">
        <v>90</v>
      </c>
      <c r="E18" s="2" t="s">
        <v>41</v>
      </c>
      <c r="F18" s="2">
        <v>6</v>
      </c>
      <c r="G18" s="2" t="s">
        <v>190</v>
      </c>
      <c r="H18" s="79" t="s">
        <v>90</v>
      </c>
      <c r="I18" s="79" t="s">
        <v>91</v>
      </c>
      <c r="J18" s="79" t="s">
        <v>53</v>
      </c>
      <c r="K18" s="79" t="s">
        <v>260</v>
      </c>
      <c r="L18" s="81"/>
    </row>
    <row r="19" spans="1:12" ht="19.899999999999999" customHeight="1">
      <c r="A19" s="78" t="s">
        <v>383</v>
      </c>
      <c r="B19" s="2">
        <v>4840</v>
      </c>
      <c r="C19" s="2" t="s">
        <v>301</v>
      </c>
      <c r="D19" s="2" t="s">
        <v>90</v>
      </c>
      <c r="E19" s="2" t="s">
        <v>41</v>
      </c>
      <c r="F19" s="2">
        <v>7</v>
      </c>
      <c r="G19" s="2" t="s">
        <v>190</v>
      </c>
      <c r="H19" s="79" t="s">
        <v>90</v>
      </c>
      <c r="I19" s="79" t="s">
        <v>91</v>
      </c>
      <c r="J19" s="79" t="s">
        <v>51</v>
      </c>
      <c r="K19" s="79" t="s">
        <v>260</v>
      </c>
      <c r="L19" s="81"/>
    </row>
    <row r="20" spans="1:12" ht="19.899999999999999" customHeight="1">
      <c r="A20" s="78" t="s">
        <v>384</v>
      </c>
      <c r="B20" s="2">
        <v>4840</v>
      </c>
      <c r="C20" s="2" t="s">
        <v>301</v>
      </c>
      <c r="D20" s="2" t="s">
        <v>90</v>
      </c>
      <c r="E20" s="2" t="s">
        <v>41</v>
      </c>
      <c r="F20" s="2">
        <v>8</v>
      </c>
      <c r="G20" s="2" t="s">
        <v>190</v>
      </c>
      <c r="H20" s="79" t="s">
        <v>90</v>
      </c>
      <c r="I20" s="79" t="s">
        <v>91</v>
      </c>
      <c r="J20" s="79" t="s">
        <v>381</v>
      </c>
      <c r="K20" s="79" t="s">
        <v>260</v>
      </c>
      <c r="L20" s="81"/>
    </row>
    <row r="21" spans="1:12" ht="19.899999999999999" customHeight="1">
      <c r="A21" s="145" t="s">
        <v>385</v>
      </c>
      <c r="B21" s="146">
        <v>340</v>
      </c>
      <c r="C21" s="146" t="s">
        <v>252</v>
      </c>
      <c r="D21" s="146" t="s">
        <v>90</v>
      </c>
      <c r="E21" s="146" t="s">
        <v>41</v>
      </c>
      <c r="F21" s="146">
        <v>9</v>
      </c>
      <c r="G21" s="146" t="s">
        <v>190</v>
      </c>
      <c r="H21" s="147" t="s">
        <v>386</v>
      </c>
      <c r="I21" s="147" t="s">
        <v>45</v>
      </c>
      <c r="J21" s="147" t="s">
        <v>46</v>
      </c>
      <c r="K21" s="147" t="s">
        <v>387</v>
      </c>
      <c r="L21" s="159"/>
    </row>
    <row r="22" spans="1:12" ht="19.899999999999999" customHeight="1">
      <c r="A22" s="55" t="s">
        <v>388</v>
      </c>
      <c r="B22" s="56">
        <v>1130</v>
      </c>
      <c r="C22" s="56" t="s">
        <v>252</v>
      </c>
      <c r="D22" s="57" t="s">
        <v>196</v>
      </c>
      <c r="E22" s="57" t="s">
        <v>204</v>
      </c>
      <c r="F22" s="57" t="s">
        <v>46</v>
      </c>
      <c r="G22" s="57" t="s">
        <v>389</v>
      </c>
      <c r="H22" s="147" t="s">
        <v>386</v>
      </c>
      <c r="I22" s="147" t="s">
        <v>45</v>
      </c>
      <c r="J22" s="147" t="s">
        <v>46</v>
      </c>
      <c r="K22" s="147" t="s">
        <v>387</v>
      </c>
      <c r="L22" s="159"/>
    </row>
    <row r="23" spans="1:12" ht="19.899999999999999" customHeight="1">
      <c r="A23" s="145" t="s">
        <v>390</v>
      </c>
      <c r="B23" s="146">
        <v>1150</v>
      </c>
      <c r="C23" s="146" t="s">
        <v>252</v>
      </c>
      <c r="D23" s="147" t="s">
        <v>90</v>
      </c>
      <c r="E23" s="147" t="s">
        <v>91</v>
      </c>
      <c r="F23" s="146">
        <v>1</v>
      </c>
      <c r="G23" s="146" t="s">
        <v>313</v>
      </c>
      <c r="H23" s="147" t="s">
        <v>386</v>
      </c>
      <c r="I23" s="147" t="s">
        <v>45</v>
      </c>
      <c r="J23" s="147" t="s">
        <v>46</v>
      </c>
      <c r="K23" s="147" t="s">
        <v>387</v>
      </c>
      <c r="L23" s="159"/>
    </row>
    <row r="24" spans="1:12" ht="19.899999999999999" customHeight="1">
      <c r="A24" s="145" t="s">
        <v>391</v>
      </c>
      <c r="B24" s="146">
        <v>355</v>
      </c>
      <c r="C24" s="146" t="s">
        <v>252</v>
      </c>
      <c r="D24" s="147" t="s">
        <v>386</v>
      </c>
      <c r="E24" s="147" t="s">
        <v>45</v>
      </c>
      <c r="F24" s="147" t="s">
        <v>46</v>
      </c>
      <c r="G24" s="147" t="s">
        <v>387</v>
      </c>
      <c r="H24" s="51" t="s">
        <v>196</v>
      </c>
      <c r="I24" s="51" t="s">
        <v>204</v>
      </c>
      <c r="J24" s="51" t="s">
        <v>46</v>
      </c>
      <c r="K24" s="51" t="s">
        <v>392</v>
      </c>
      <c r="L24" s="52"/>
    </row>
    <row r="25" spans="1:12" ht="19.899999999999999" customHeight="1">
      <c r="A25" s="145" t="s">
        <v>393</v>
      </c>
      <c r="B25" s="146">
        <v>1040</v>
      </c>
      <c r="C25" s="146" t="s">
        <v>252</v>
      </c>
      <c r="D25" s="147" t="s">
        <v>386</v>
      </c>
      <c r="E25" s="147" t="s">
        <v>45</v>
      </c>
      <c r="F25" s="147" t="s">
        <v>46</v>
      </c>
      <c r="G25" s="147" t="s">
        <v>387</v>
      </c>
      <c r="H25" s="147" t="s">
        <v>189</v>
      </c>
      <c r="I25" s="147" t="s">
        <v>91</v>
      </c>
      <c r="J25" s="147" t="s">
        <v>42</v>
      </c>
      <c r="K25" s="147" t="s">
        <v>394</v>
      </c>
      <c r="L25" s="159"/>
    </row>
    <row r="26" spans="1:12" ht="19.899999999999999" customHeight="1">
      <c r="A26" s="145" t="s">
        <v>395</v>
      </c>
      <c r="B26" s="146">
        <v>1090</v>
      </c>
      <c r="C26" s="146" t="s">
        <v>252</v>
      </c>
      <c r="D26" s="147" t="s">
        <v>386</v>
      </c>
      <c r="E26" s="147" t="s">
        <v>45</v>
      </c>
      <c r="F26" s="147" t="s">
        <v>46</v>
      </c>
      <c r="G26" s="147" t="s">
        <v>387</v>
      </c>
      <c r="H26" s="147" t="s">
        <v>189</v>
      </c>
      <c r="I26" s="147" t="s">
        <v>91</v>
      </c>
      <c r="J26" s="147" t="s">
        <v>42</v>
      </c>
      <c r="K26" s="147" t="s">
        <v>396</v>
      </c>
      <c r="L26" s="159"/>
    </row>
    <row r="27" spans="1:12" ht="19.899999999999999" customHeight="1">
      <c r="A27" s="160" t="s">
        <v>397</v>
      </c>
      <c r="B27" s="146">
        <v>1000</v>
      </c>
      <c r="C27" s="146" t="s">
        <v>252</v>
      </c>
      <c r="D27" s="147" t="s">
        <v>386</v>
      </c>
      <c r="E27" s="147" t="s">
        <v>45</v>
      </c>
      <c r="F27" s="147" t="s">
        <v>46</v>
      </c>
      <c r="G27" s="147" t="s">
        <v>387</v>
      </c>
      <c r="H27" s="147" t="s">
        <v>189</v>
      </c>
      <c r="I27" s="147" t="s">
        <v>91</v>
      </c>
      <c r="J27" s="147" t="s">
        <v>42</v>
      </c>
      <c r="K27" s="147" t="s">
        <v>398</v>
      </c>
      <c r="L27" s="159"/>
    </row>
    <row r="28" spans="1:12" ht="19.899999999999999" customHeight="1">
      <c r="A28" s="160" t="s">
        <v>399</v>
      </c>
      <c r="B28" s="146">
        <v>1130</v>
      </c>
      <c r="C28" s="146" t="s">
        <v>252</v>
      </c>
      <c r="D28" s="147" t="s">
        <v>386</v>
      </c>
      <c r="E28" s="147" t="s">
        <v>45</v>
      </c>
      <c r="F28" s="147" t="s">
        <v>46</v>
      </c>
      <c r="G28" s="147" t="s">
        <v>387</v>
      </c>
      <c r="H28" s="147" t="s">
        <v>189</v>
      </c>
      <c r="I28" s="147" t="s">
        <v>91</v>
      </c>
      <c r="J28" s="147" t="s">
        <v>42</v>
      </c>
      <c r="K28" s="147" t="s">
        <v>400</v>
      </c>
      <c r="L28" s="159"/>
    </row>
    <row r="29" spans="1:12" ht="19.899999999999999" customHeight="1">
      <c r="A29" s="148" t="s">
        <v>401</v>
      </c>
      <c r="B29" s="56">
        <v>400</v>
      </c>
      <c r="C29" s="56" t="s">
        <v>252</v>
      </c>
      <c r="D29" s="57" t="s">
        <v>189</v>
      </c>
      <c r="E29" s="57" t="s">
        <v>91</v>
      </c>
      <c r="F29" s="57" t="s">
        <v>173</v>
      </c>
      <c r="G29" s="57" t="s">
        <v>325</v>
      </c>
      <c r="H29" s="57" t="s">
        <v>386</v>
      </c>
      <c r="I29" s="57" t="s">
        <v>45</v>
      </c>
      <c r="J29" s="57" t="s">
        <v>46</v>
      </c>
      <c r="K29" s="57" t="s">
        <v>402</v>
      </c>
      <c r="L29" s="70"/>
    </row>
    <row r="30" spans="1:12" ht="19.899999999999999" customHeight="1">
      <c r="A30" s="148" t="s">
        <v>403</v>
      </c>
      <c r="B30" s="56">
        <v>400</v>
      </c>
      <c r="C30" s="56" t="s">
        <v>252</v>
      </c>
      <c r="D30" s="57" t="s">
        <v>189</v>
      </c>
      <c r="E30" s="57" t="s">
        <v>91</v>
      </c>
      <c r="F30" s="57" t="s">
        <v>173</v>
      </c>
      <c r="G30" s="57" t="s">
        <v>328</v>
      </c>
      <c r="H30" s="57" t="s">
        <v>386</v>
      </c>
      <c r="I30" s="57" t="s">
        <v>45</v>
      </c>
      <c r="J30" s="57" t="s">
        <v>46</v>
      </c>
      <c r="K30" s="57" t="s">
        <v>402</v>
      </c>
      <c r="L30" s="70"/>
    </row>
    <row r="31" spans="1:12" ht="19.899999999999999" customHeight="1">
      <c r="A31" s="148" t="s">
        <v>404</v>
      </c>
      <c r="B31" s="56">
        <v>550</v>
      </c>
      <c r="C31" s="56" t="s">
        <v>252</v>
      </c>
      <c r="D31" s="57" t="s">
        <v>189</v>
      </c>
      <c r="E31" s="57" t="s">
        <v>91</v>
      </c>
      <c r="F31" s="57" t="s">
        <v>42</v>
      </c>
      <c r="G31" s="57" t="s">
        <v>332</v>
      </c>
      <c r="H31" s="57" t="s">
        <v>386</v>
      </c>
      <c r="I31" s="57" t="s">
        <v>45</v>
      </c>
      <c r="J31" s="57" t="s">
        <v>46</v>
      </c>
      <c r="K31" s="57" t="s">
        <v>402</v>
      </c>
      <c r="L31" s="70"/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J3:K3"/>
    <mergeCell ref="A1:B2"/>
    <mergeCell ref="C1:E2"/>
    <mergeCell ref="F1:G1"/>
    <mergeCell ref="F2:G2"/>
    <mergeCell ref="B3:D3"/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</mergeCells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D812-AF4F-4B54-B45F-6DE44175BF85}">
  <dimension ref="A1:L35"/>
  <sheetViews>
    <sheetView showGridLines="0" topLeftCell="A16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1.42578125" style="4" bestFit="1" customWidth="1"/>
    <col min="7" max="7" width="22.28515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4.140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405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61" t="s">
        <v>406</v>
      </c>
      <c r="B7" s="162">
        <v>3570</v>
      </c>
      <c r="C7" s="162" t="s">
        <v>252</v>
      </c>
      <c r="D7" s="51" t="s">
        <v>196</v>
      </c>
      <c r="E7" s="51" t="s">
        <v>204</v>
      </c>
      <c r="F7" s="51" t="s">
        <v>46</v>
      </c>
      <c r="G7" s="51" t="s">
        <v>392</v>
      </c>
      <c r="H7" s="51" t="s">
        <v>194</v>
      </c>
      <c r="I7" s="51" t="s">
        <v>91</v>
      </c>
      <c r="J7" s="51" t="s">
        <v>312</v>
      </c>
      <c r="K7" s="51" t="s">
        <v>169</v>
      </c>
      <c r="L7" s="163"/>
    </row>
    <row r="8" spans="1:12" ht="19.899999999999999" customHeight="1">
      <c r="A8" s="53" t="s">
        <v>407</v>
      </c>
      <c r="B8" s="139">
        <v>920</v>
      </c>
      <c r="C8" s="139" t="s">
        <v>252</v>
      </c>
      <c r="D8" s="51" t="s">
        <v>196</v>
      </c>
      <c r="E8" s="51" t="s">
        <v>204</v>
      </c>
      <c r="F8" s="51" t="s">
        <v>46</v>
      </c>
      <c r="G8" s="51" t="s">
        <v>392</v>
      </c>
      <c r="H8" s="66" t="s">
        <v>196</v>
      </c>
      <c r="I8" s="66" t="s">
        <v>204</v>
      </c>
      <c r="J8" s="66" t="s">
        <v>46</v>
      </c>
      <c r="K8" s="66" t="s">
        <v>408</v>
      </c>
      <c r="L8" s="84"/>
    </row>
    <row r="9" spans="1:12" ht="19.899999999999999" customHeight="1">
      <c r="A9" s="64" t="s">
        <v>409</v>
      </c>
      <c r="B9" s="65">
        <v>1800</v>
      </c>
      <c r="C9" s="65" t="s">
        <v>252</v>
      </c>
      <c r="D9" s="66" t="s">
        <v>196</v>
      </c>
      <c r="E9" s="66" t="s">
        <v>204</v>
      </c>
      <c r="F9" s="66" t="s">
        <v>46</v>
      </c>
      <c r="G9" s="66" t="s">
        <v>408</v>
      </c>
      <c r="H9" s="66" t="s">
        <v>189</v>
      </c>
      <c r="I9" s="66" t="s">
        <v>91</v>
      </c>
      <c r="J9" s="66" t="s">
        <v>312</v>
      </c>
      <c r="K9" s="164" t="s">
        <v>410</v>
      </c>
      <c r="L9" s="85"/>
    </row>
    <row r="10" spans="1:12" ht="19.899999999999999" customHeight="1">
      <c r="A10" s="64" t="s">
        <v>411</v>
      </c>
      <c r="B10" s="65">
        <v>460</v>
      </c>
      <c r="C10" s="65" t="s">
        <v>252</v>
      </c>
      <c r="D10" s="66" t="s">
        <v>196</v>
      </c>
      <c r="E10" s="66" t="s">
        <v>204</v>
      </c>
      <c r="F10" s="66" t="s">
        <v>46</v>
      </c>
      <c r="G10" s="66" t="s">
        <v>408</v>
      </c>
      <c r="H10" s="66" t="s">
        <v>189</v>
      </c>
      <c r="I10" s="66" t="s">
        <v>91</v>
      </c>
      <c r="J10" s="66" t="s">
        <v>312</v>
      </c>
      <c r="K10" s="164" t="s">
        <v>412</v>
      </c>
      <c r="L10" s="85"/>
    </row>
    <row r="11" spans="1:12" ht="19.899999999999999" customHeight="1">
      <c r="A11" s="117" t="s">
        <v>413</v>
      </c>
      <c r="B11" s="114">
        <v>2380</v>
      </c>
      <c r="C11" s="114" t="s">
        <v>39</v>
      </c>
      <c r="D11" s="71" t="s">
        <v>44</v>
      </c>
      <c r="E11" s="71" t="s">
        <v>45</v>
      </c>
      <c r="F11" s="71" t="s">
        <v>46</v>
      </c>
      <c r="G11" s="71" t="s">
        <v>97</v>
      </c>
      <c r="H11" s="71" t="s">
        <v>189</v>
      </c>
      <c r="I11" s="71" t="s">
        <v>91</v>
      </c>
      <c r="J11" s="71" t="s">
        <v>42</v>
      </c>
      <c r="K11" s="71" t="s">
        <v>414</v>
      </c>
      <c r="L11" s="72"/>
    </row>
    <row r="12" spans="1:12" ht="19.899999999999999" customHeight="1">
      <c r="A12" s="117" t="s">
        <v>415</v>
      </c>
      <c r="B12" s="114">
        <v>1620</v>
      </c>
      <c r="C12" s="114" t="s">
        <v>39</v>
      </c>
      <c r="D12" s="71" t="s">
        <v>44</v>
      </c>
      <c r="E12" s="71" t="s">
        <v>45</v>
      </c>
      <c r="F12" s="71" t="s">
        <v>46</v>
      </c>
      <c r="G12" s="71" t="s">
        <v>97</v>
      </c>
      <c r="H12" s="71" t="s">
        <v>189</v>
      </c>
      <c r="I12" s="71" t="s">
        <v>91</v>
      </c>
      <c r="J12" s="71" t="s">
        <v>42</v>
      </c>
      <c r="K12" s="71" t="s">
        <v>416</v>
      </c>
      <c r="L12" s="72"/>
    </row>
    <row r="13" spans="1:12" ht="19.5" customHeight="1">
      <c r="A13" s="117" t="s">
        <v>417</v>
      </c>
      <c r="B13" s="114">
        <v>2510</v>
      </c>
      <c r="C13" s="114" t="s">
        <v>39</v>
      </c>
      <c r="D13" s="71" t="s">
        <v>44</v>
      </c>
      <c r="E13" s="71" t="s">
        <v>45</v>
      </c>
      <c r="F13" s="71" t="s">
        <v>46</v>
      </c>
      <c r="G13" s="71" t="s">
        <v>97</v>
      </c>
      <c r="H13" s="71" t="s">
        <v>189</v>
      </c>
      <c r="I13" s="71" t="s">
        <v>91</v>
      </c>
      <c r="J13" s="71" t="s">
        <v>42</v>
      </c>
      <c r="K13" s="133" t="s">
        <v>410</v>
      </c>
      <c r="L13" s="72"/>
    </row>
    <row r="14" spans="1:12" ht="19.5" customHeight="1">
      <c r="A14" s="117" t="s">
        <v>418</v>
      </c>
      <c r="B14" s="114">
        <v>1160</v>
      </c>
      <c r="C14" s="114" t="s">
        <v>39</v>
      </c>
      <c r="D14" s="71" t="s">
        <v>44</v>
      </c>
      <c r="E14" s="71" t="s">
        <v>45</v>
      </c>
      <c r="F14" s="71" t="s">
        <v>46</v>
      </c>
      <c r="G14" s="71" t="s">
        <v>97</v>
      </c>
      <c r="H14" s="71" t="s">
        <v>189</v>
      </c>
      <c r="I14" s="71" t="s">
        <v>91</v>
      </c>
      <c r="J14" s="71" t="s">
        <v>42</v>
      </c>
      <c r="K14" s="133" t="s">
        <v>412</v>
      </c>
      <c r="L14" s="72"/>
    </row>
    <row r="15" spans="1:12" ht="19.899999999999999" customHeight="1">
      <c r="A15" s="78" t="s">
        <v>419</v>
      </c>
      <c r="B15" s="2">
        <v>3260</v>
      </c>
      <c r="C15" s="2" t="s">
        <v>420</v>
      </c>
      <c r="D15" s="79" t="s">
        <v>189</v>
      </c>
      <c r="E15" s="79" t="s">
        <v>91</v>
      </c>
      <c r="F15" s="79" t="s">
        <v>173</v>
      </c>
      <c r="G15" s="79" t="s">
        <v>414</v>
      </c>
      <c r="H15" s="2" t="s">
        <v>90</v>
      </c>
      <c r="I15" s="2" t="s">
        <v>41</v>
      </c>
      <c r="J15" s="2">
        <v>37</v>
      </c>
      <c r="K15" s="2" t="s">
        <v>190</v>
      </c>
      <c r="L15" s="81"/>
    </row>
    <row r="16" spans="1:12" ht="19.899999999999999" customHeight="1">
      <c r="A16" s="78" t="s">
        <v>421</v>
      </c>
      <c r="B16" s="2">
        <v>2040</v>
      </c>
      <c r="C16" s="2" t="s">
        <v>188</v>
      </c>
      <c r="D16" s="2" t="s">
        <v>90</v>
      </c>
      <c r="E16" s="2" t="s">
        <v>41</v>
      </c>
      <c r="F16" s="2">
        <v>11</v>
      </c>
      <c r="G16" s="2" t="s">
        <v>190</v>
      </c>
      <c r="H16" s="79" t="s">
        <v>189</v>
      </c>
      <c r="I16" s="79" t="s">
        <v>91</v>
      </c>
      <c r="J16" s="79" t="s">
        <v>292</v>
      </c>
      <c r="K16" s="134" t="s">
        <v>412</v>
      </c>
      <c r="L16" s="81"/>
    </row>
    <row r="17" spans="1:12" ht="19.899999999999999" customHeight="1">
      <c r="A17" s="78" t="s">
        <v>422</v>
      </c>
      <c r="B17" s="2">
        <v>3380</v>
      </c>
      <c r="C17" s="2" t="s">
        <v>172</v>
      </c>
      <c r="D17" s="2" t="s">
        <v>90</v>
      </c>
      <c r="E17" s="2" t="s">
        <v>41</v>
      </c>
      <c r="F17" s="2">
        <v>12</v>
      </c>
      <c r="G17" s="2" t="s">
        <v>190</v>
      </c>
      <c r="H17" s="79" t="s">
        <v>189</v>
      </c>
      <c r="I17" s="79" t="s">
        <v>91</v>
      </c>
      <c r="J17" s="79" t="s">
        <v>292</v>
      </c>
      <c r="K17" s="134" t="s">
        <v>410</v>
      </c>
      <c r="L17" s="81"/>
    </row>
    <row r="18" spans="1:12" ht="19.899999999999999" customHeight="1">
      <c r="A18" s="78" t="s">
        <v>423</v>
      </c>
      <c r="B18" s="2">
        <v>1470</v>
      </c>
      <c r="C18" s="2" t="s">
        <v>334</v>
      </c>
      <c r="D18" s="2" t="s">
        <v>90</v>
      </c>
      <c r="E18" s="2" t="s">
        <v>41</v>
      </c>
      <c r="F18" s="2">
        <v>13</v>
      </c>
      <c r="G18" s="2" t="s">
        <v>190</v>
      </c>
      <c r="H18" s="79" t="s">
        <v>189</v>
      </c>
      <c r="I18" s="79" t="s">
        <v>91</v>
      </c>
      <c r="J18" s="79" t="s">
        <v>312</v>
      </c>
      <c r="K18" s="79" t="s">
        <v>400</v>
      </c>
      <c r="L18" s="81"/>
    </row>
    <row r="19" spans="1:12" ht="19.899999999999999" customHeight="1">
      <c r="A19" s="78" t="s">
        <v>424</v>
      </c>
      <c r="B19" s="2">
        <v>1330</v>
      </c>
      <c r="C19" s="2" t="s">
        <v>334</v>
      </c>
      <c r="D19" s="2" t="s">
        <v>90</v>
      </c>
      <c r="E19" s="2" t="s">
        <v>41</v>
      </c>
      <c r="F19" s="2">
        <v>14</v>
      </c>
      <c r="G19" s="2" t="s">
        <v>190</v>
      </c>
      <c r="H19" s="79" t="s">
        <v>189</v>
      </c>
      <c r="I19" s="79" t="s">
        <v>91</v>
      </c>
      <c r="J19" s="79" t="s">
        <v>173</v>
      </c>
      <c r="K19" s="79" t="s">
        <v>398</v>
      </c>
      <c r="L19" s="81"/>
    </row>
    <row r="20" spans="1:12" ht="19.899999999999999" customHeight="1">
      <c r="A20" s="78" t="s">
        <v>425</v>
      </c>
      <c r="B20" s="2">
        <v>1420</v>
      </c>
      <c r="C20" s="2" t="s">
        <v>334</v>
      </c>
      <c r="D20" s="2" t="s">
        <v>90</v>
      </c>
      <c r="E20" s="2" t="s">
        <v>41</v>
      </c>
      <c r="F20" s="2">
        <v>15</v>
      </c>
      <c r="G20" s="2" t="s">
        <v>190</v>
      </c>
      <c r="H20" s="79" t="s">
        <v>189</v>
      </c>
      <c r="I20" s="79" t="s">
        <v>91</v>
      </c>
      <c r="J20" s="79" t="s">
        <v>173</v>
      </c>
      <c r="K20" s="79" t="s">
        <v>396</v>
      </c>
      <c r="L20" s="81"/>
    </row>
    <row r="21" spans="1:12" ht="19.899999999999999" customHeight="1">
      <c r="A21" s="78" t="s">
        <v>426</v>
      </c>
      <c r="B21" s="2">
        <v>1380</v>
      </c>
      <c r="C21" s="2" t="s">
        <v>334</v>
      </c>
      <c r="D21" s="2" t="s">
        <v>90</v>
      </c>
      <c r="E21" s="2" t="s">
        <v>41</v>
      </c>
      <c r="F21" s="2">
        <v>16</v>
      </c>
      <c r="G21" s="2" t="s">
        <v>190</v>
      </c>
      <c r="H21" s="79" t="s">
        <v>189</v>
      </c>
      <c r="I21" s="79" t="s">
        <v>91</v>
      </c>
      <c r="J21" s="79" t="s">
        <v>173</v>
      </c>
      <c r="K21" s="79" t="s">
        <v>394</v>
      </c>
      <c r="L21" s="81"/>
    </row>
    <row r="22" spans="1:12" ht="19.899999999999999" customHeight="1">
      <c r="A22" s="78" t="s">
        <v>427</v>
      </c>
      <c r="B22" s="2">
        <v>2040</v>
      </c>
      <c r="C22" s="2" t="s">
        <v>301</v>
      </c>
      <c r="D22" s="2" t="s">
        <v>90</v>
      </c>
      <c r="E22" s="2" t="s">
        <v>41</v>
      </c>
      <c r="F22" s="2">
        <v>17</v>
      </c>
      <c r="G22" s="2" t="s">
        <v>190</v>
      </c>
      <c r="H22" s="79" t="s">
        <v>189</v>
      </c>
      <c r="I22" s="79" t="s">
        <v>91</v>
      </c>
      <c r="J22" s="79" t="s">
        <v>428</v>
      </c>
      <c r="K22" s="134" t="s">
        <v>412</v>
      </c>
      <c r="L22" s="81"/>
    </row>
    <row r="23" spans="1:12" ht="19.899999999999999" customHeight="1">
      <c r="A23" s="78" t="s">
        <v>429</v>
      </c>
      <c r="B23" s="2">
        <v>1130</v>
      </c>
      <c r="C23" s="2" t="s">
        <v>366</v>
      </c>
      <c r="D23" s="2" t="s">
        <v>90</v>
      </c>
      <c r="E23" s="2" t="s">
        <v>41</v>
      </c>
      <c r="F23" s="2">
        <v>31</v>
      </c>
      <c r="G23" s="2" t="s">
        <v>190</v>
      </c>
      <c r="H23" s="79" t="s">
        <v>189</v>
      </c>
      <c r="I23" s="79" t="s">
        <v>91</v>
      </c>
      <c r="J23" s="79" t="s">
        <v>173</v>
      </c>
      <c r="K23" s="79" t="s">
        <v>138</v>
      </c>
      <c r="L23" s="81"/>
    </row>
    <row r="24" spans="1:12" ht="19.899999999999999" customHeight="1">
      <c r="A24" s="78" t="s">
        <v>430</v>
      </c>
      <c r="B24" s="2">
        <v>1130</v>
      </c>
      <c r="C24" s="2" t="s">
        <v>366</v>
      </c>
      <c r="D24" s="2" t="s">
        <v>90</v>
      </c>
      <c r="E24" s="2" t="s">
        <v>41</v>
      </c>
      <c r="F24" s="2">
        <v>32</v>
      </c>
      <c r="G24" s="2" t="s">
        <v>190</v>
      </c>
      <c r="H24" s="79" t="s">
        <v>189</v>
      </c>
      <c r="I24" s="79" t="s">
        <v>91</v>
      </c>
      <c r="J24" s="79" t="s">
        <v>173</v>
      </c>
      <c r="K24" s="79" t="s">
        <v>431</v>
      </c>
      <c r="L24" s="81"/>
    </row>
    <row r="25" spans="1:12" ht="19.899999999999999" customHeight="1">
      <c r="A25" s="78" t="s">
        <v>432</v>
      </c>
      <c r="B25" s="2">
        <v>1130</v>
      </c>
      <c r="C25" s="2" t="s">
        <v>366</v>
      </c>
      <c r="D25" s="2" t="s">
        <v>90</v>
      </c>
      <c r="E25" s="2" t="s">
        <v>41</v>
      </c>
      <c r="F25" s="2">
        <v>49</v>
      </c>
      <c r="G25" s="2" t="s">
        <v>190</v>
      </c>
      <c r="H25" s="79" t="s">
        <v>189</v>
      </c>
      <c r="I25" s="79" t="s">
        <v>91</v>
      </c>
      <c r="J25" s="79" t="s">
        <v>173</v>
      </c>
      <c r="K25" s="79" t="s">
        <v>136</v>
      </c>
      <c r="L25" s="81"/>
    </row>
    <row r="26" spans="1:12" ht="19.899999999999999" customHeight="1">
      <c r="A26" s="78" t="s">
        <v>433</v>
      </c>
      <c r="B26" s="2">
        <v>1180</v>
      </c>
      <c r="C26" s="2" t="s">
        <v>420</v>
      </c>
      <c r="D26" s="2" t="s">
        <v>90</v>
      </c>
      <c r="E26" s="2" t="s">
        <v>41</v>
      </c>
      <c r="F26" s="2">
        <v>38</v>
      </c>
      <c r="G26" s="2" t="s">
        <v>190</v>
      </c>
      <c r="H26" s="79" t="s">
        <v>50</v>
      </c>
      <c r="I26" s="79" t="s">
        <v>41</v>
      </c>
      <c r="J26" s="79" t="s">
        <v>319</v>
      </c>
      <c r="K26" s="79" t="s">
        <v>43</v>
      </c>
      <c r="L26" s="81" t="s">
        <v>48</v>
      </c>
    </row>
    <row r="27" spans="1:12" ht="19.899999999999999" customHeight="1">
      <c r="A27" s="82" t="s">
        <v>434</v>
      </c>
      <c r="B27" s="2">
        <v>1330</v>
      </c>
      <c r="C27" s="2" t="s">
        <v>339</v>
      </c>
      <c r="D27" s="2" t="s">
        <v>90</v>
      </c>
      <c r="E27" s="2" t="s">
        <v>41</v>
      </c>
      <c r="F27" s="2">
        <v>39</v>
      </c>
      <c r="G27" s="2" t="s">
        <v>190</v>
      </c>
      <c r="H27" s="79" t="s">
        <v>189</v>
      </c>
      <c r="I27" s="79" t="s">
        <v>91</v>
      </c>
      <c r="J27" s="79" t="s">
        <v>173</v>
      </c>
      <c r="K27" s="79" t="s">
        <v>148</v>
      </c>
      <c r="L27" s="81"/>
    </row>
    <row r="28" spans="1:12" ht="19.899999999999999" customHeight="1">
      <c r="A28" s="82" t="s">
        <v>435</v>
      </c>
      <c r="B28" s="2">
        <v>1330</v>
      </c>
      <c r="C28" s="2" t="s">
        <v>339</v>
      </c>
      <c r="D28" s="2" t="s">
        <v>90</v>
      </c>
      <c r="E28" s="2" t="s">
        <v>41</v>
      </c>
      <c r="F28" s="2">
        <v>40</v>
      </c>
      <c r="G28" s="2" t="s">
        <v>190</v>
      </c>
      <c r="H28" s="79" t="s">
        <v>189</v>
      </c>
      <c r="I28" s="79" t="s">
        <v>91</v>
      </c>
      <c r="J28" s="79" t="s">
        <v>173</v>
      </c>
      <c r="K28" s="79" t="s">
        <v>150</v>
      </c>
      <c r="L28" s="81"/>
    </row>
    <row r="29" spans="1:12" ht="19.899999999999999" customHeight="1">
      <c r="A29" s="82" t="s">
        <v>436</v>
      </c>
      <c r="B29" s="2">
        <v>1330</v>
      </c>
      <c r="C29" s="2" t="s">
        <v>339</v>
      </c>
      <c r="D29" s="2" t="s">
        <v>90</v>
      </c>
      <c r="E29" s="2" t="s">
        <v>41</v>
      </c>
      <c r="F29" s="2">
        <v>41</v>
      </c>
      <c r="G29" s="2" t="s">
        <v>190</v>
      </c>
      <c r="H29" s="79" t="s">
        <v>189</v>
      </c>
      <c r="I29" s="79" t="s">
        <v>91</v>
      </c>
      <c r="J29" s="79" t="s">
        <v>173</v>
      </c>
      <c r="K29" s="79" t="s">
        <v>144</v>
      </c>
      <c r="L29" s="81"/>
    </row>
    <row r="30" spans="1:12" ht="19.899999999999999" customHeight="1">
      <c r="A30" s="82" t="s">
        <v>437</v>
      </c>
      <c r="B30" s="2">
        <v>1330</v>
      </c>
      <c r="C30" s="2" t="s">
        <v>339</v>
      </c>
      <c r="D30" s="2" t="s">
        <v>90</v>
      </c>
      <c r="E30" s="2" t="s">
        <v>41</v>
      </c>
      <c r="F30" s="2">
        <v>42</v>
      </c>
      <c r="G30" s="2" t="s">
        <v>190</v>
      </c>
      <c r="H30" s="79" t="s">
        <v>189</v>
      </c>
      <c r="I30" s="79" t="s">
        <v>91</v>
      </c>
      <c r="J30" s="79" t="s">
        <v>173</v>
      </c>
      <c r="K30" s="79" t="s">
        <v>146</v>
      </c>
      <c r="L30" s="81"/>
    </row>
    <row r="31" spans="1:12" ht="19.899999999999999" customHeight="1">
      <c r="A31" s="82" t="s">
        <v>438</v>
      </c>
      <c r="B31" s="2">
        <v>1520</v>
      </c>
      <c r="C31" s="2" t="s">
        <v>339</v>
      </c>
      <c r="D31" s="2" t="s">
        <v>90</v>
      </c>
      <c r="E31" s="2" t="s">
        <v>41</v>
      </c>
      <c r="F31" s="2">
        <v>44</v>
      </c>
      <c r="G31" s="2" t="s">
        <v>190</v>
      </c>
      <c r="H31" s="79" t="s">
        <v>189</v>
      </c>
      <c r="I31" s="79" t="s">
        <v>91</v>
      </c>
      <c r="J31" s="79" t="s">
        <v>173</v>
      </c>
      <c r="K31" s="79" t="s">
        <v>439</v>
      </c>
      <c r="L31" s="81"/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J3:K3"/>
    <mergeCell ref="A1:B2"/>
    <mergeCell ref="C1:E2"/>
    <mergeCell ref="F1:G1"/>
    <mergeCell ref="F2:G2"/>
    <mergeCell ref="B3:D3"/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</mergeCells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04EB-95C0-46C9-9F12-C43FBCC970CE}">
  <dimension ref="A1:L35"/>
  <sheetViews>
    <sheetView showGridLines="0" topLeftCell="A16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1.42578125" style="4" bestFit="1" customWidth="1"/>
    <col min="7" max="7" width="24.140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4.140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440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65" t="s">
        <v>441</v>
      </c>
      <c r="B7" s="166">
        <v>570</v>
      </c>
      <c r="C7" s="166" t="s">
        <v>339</v>
      </c>
      <c r="D7" s="62" t="s">
        <v>90</v>
      </c>
      <c r="E7" s="62" t="s">
        <v>41</v>
      </c>
      <c r="F7" s="62">
        <v>45</v>
      </c>
      <c r="G7" s="62" t="s">
        <v>190</v>
      </c>
      <c r="H7" s="130" t="s">
        <v>196</v>
      </c>
      <c r="I7" s="130" t="s">
        <v>204</v>
      </c>
      <c r="J7" s="130" t="s">
        <v>46</v>
      </c>
      <c r="K7" s="129" t="s">
        <v>442</v>
      </c>
      <c r="L7" s="137"/>
    </row>
    <row r="8" spans="1:12" ht="19.899999999999999" customHeight="1">
      <c r="A8" s="61" t="s">
        <v>443</v>
      </c>
      <c r="B8" s="62">
        <v>820</v>
      </c>
      <c r="C8" s="62" t="s">
        <v>339</v>
      </c>
      <c r="D8" s="63" t="s">
        <v>50</v>
      </c>
      <c r="E8" s="63" t="s">
        <v>41</v>
      </c>
      <c r="F8" s="63" t="s">
        <v>292</v>
      </c>
      <c r="G8" s="63" t="s">
        <v>43</v>
      </c>
      <c r="H8" s="130" t="s">
        <v>196</v>
      </c>
      <c r="I8" s="130" t="s">
        <v>204</v>
      </c>
      <c r="J8" s="130" t="s">
        <v>46</v>
      </c>
      <c r="K8" s="129" t="s">
        <v>442</v>
      </c>
      <c r="L8" s="105" t="s">
        <v>48</v>
      </c>
    </row>
    <row r="9" spans="1:12" ht="19.899999999999999" customHeight="1">
      <c r="A9" s="61" t="s">
        <v>444</v>
      </c>
      <c r="B9" s="62">
        <v>820</v>
      </c>
      <c r="C9" s="62" t="s">
        <v>339</v>
      </c>
      <c r="D9" s="63" t="s">
        <v>50</v>
      </c>
      <c r="E9" s="63" t="s">
        <v>41</v>
      </c>
      <c r="F9" s="63" t="s">
        <v>309</v>
      </c>
      <c r="G9" s="63" t="s">
        <v>43</v>
      </c>
      <c r="H9" s="130" t="s">
        <v>196</v>
      </c>
      <c r="I9" s="130" t="s">
        <v>204</v>
      </c>
      <c r="J9" s="130" t="s">
        <v>46</v>
      </c>
      <c r="K9" s="129" t="s">
        <v>442</v>
      </c>
      <c r="L9" s="105" t="s">
        <v>48</v>
      </c>
    </row>
    <row r="10" spans="1:12" ht="19.899999999999999" customHeight="1">
      <c r="A10" s="61" t="s">
        <v>445</v>
      </c>
      <c r="B10" s="62">
        <v>1490</v>
      </c>
      <c r="C10" s="62" t="s">
        <v>339</v>
      </c>
      <c r="D10" s="130" t="s">
        <v>196</v>
      </c>
      <c r="E10" s="130" t="s">
        <v>204</v>
      </c>
      <c r="F10" s="130" t="s">
        <v>46</v>
      </c>
      <c r="G10" s="129" t="s">
        <v>442</v>
      </c>
      <c r="H10" s="63" t="s">
        <v>90</v>
      </c>
      <c r="I10" s="63" t="s">
        <v>91</v>
      </c>
      <c r="J10" s="62">
        <v>1</v>
      </c>
      <c r="K10" s="62" t="s">
        <v>446</v>
      </c>
      <c r="L10" s="105"/>
    </row>
    <row r="11" spans="1:12" ht="19.899999999999999" customHeight="1">
      <c r="A11" s="167" t="s">
        <v>447</v>
      </c>
      <c r="B11" s="168">
        <v>570</v>
      </c>
      <c r="C11" s="168" t="s">
        <v>339</v>
      </c>
      <c r="D11" s="169" t="s">
        <v>90</v>
      </c>
      <c r="E11" s="169" t="s">
        <v>41</v>
      </c>
      <c r="F11" s="169">
        <v>46</v>
      </c>
      <c r="G11" s="169" t="s">
        <v>190</v>
      </c>
      <c r="H11" s="170" t="s">
        <v>196</v>
      </c>
      <c r="I11" s="170" t="s">
        <v>204</v>
      </c>
      <c r="J11" s="170" t="s">
        <v>46</v>
      </c>
      <c r="K11" s="171" t="s">
        <v>448</v>
      </c>
      <c r="L11" s="172"/>
    </row>
    <row r="12" spans="1:12" ht="19.899999999999999" customHeight="1">
      <c r="A12" s="167" t="s">
        <v>449</v>
      </c>
      <c r="B12" s="169">
        <v>820</v>
      </c>
      <c r="C12" s="168" t="s">
        <v>339</v>
      </c>
      <c r="D12" s="173" t="s">
        <v>50</v>
      </c>
      <c r="E12" s="173" t="s">
        <v>41</v>
      </c>
      <c r="F12" s="173" t="s">
        <v>312</v>
      </c>
      <c r="G12" s="173" t="s">
        <v>43</v>
      </c>
      <c r="H12" s="170" t="s">
        <v>196</v>
      </c>
      <c r="I12" s="170" t="s">
        <v>204</v>
      </c>
      <c r="J12" s="170" t="s">
        <v>46</v>
      </c>
      <c r="K12" s="171" t="s">
        <v>448</v>
      </c>
      <c r="L12" s="174" t="s">
        <v>48</v>
      </c>
    </row>
    <row r="13" spans="1:12" ht="19.5" customHeight="1">
      <c r="A13" s="167" t="s">
        <v>450</v>
      </c>
      <c r="B13" s="169">
        <v>820</v>
      </c>
      <c r="C13" s="168" t="s">
        <v>339</v>
      </c>
      <c r="D13" s="173" t="s">
        <v>50</v>
      </c>
      <c r="E13" s="173" t="s">
        <v>41</v>
      </c>
      <c r="F13" s="173" t="s">
        <v>220</v>
      </c>
      <c r="G13" s="173" t="s">
        <v>43</v>
      </c>
      <c r="H13" s="170" t="s">
        <v>196</v>
      </c>
      <c r="I13" s="170" t="s">
        <v>204</v>
      </c>
      <c r="J13" s="170" t="s">
        <v>46</v>
      </c>
      <c r="K13" s="171" t="s">
        <v>448</v>
      </c>
      <c r="L13" s="174"/>
    </row>
    <row r="14" spans="1:12" ht="19.5" customHeight="1">
      <c r="A14" s="167" t="s">
        <v>451</v>
      </c>
      <c r="B14" s="169">
        <v>1490</v>
      </c>
      <c r="C14" s="168" t="s">
        <v>339</v>
      </c>
      <c r="D14" s="170" t="s">
        <v>196</v>
      </c>
      <c r="E14" s="170" t="s">
        <v>204</v>
      </c>
      <c r="F14" s="170" t="s">
        <v>46</v>
      </c>
      <c r="G14" s="171" t="s">
        <v>448</v>
      </c>
      <c r="H14" s="173" t="s">
        <v>90</v>
      </c>
      <c r="I14" s="173" t="s">
        <v>91</v>
      </c>
      <c r="J14" s="169">
        <v>2</v>
      </c>
      <c r="K14" s="169" t="s">
        <v>446</v>
      </c>
      <c r="L14" s="174"/>
    </row>
    <row r="15" spans="1:12" ht="19.899999999999999" customHeight="1">
      <c r="A15" s="78" t="s">
        <v>452</v>
      </c>
      <c r="B15" s="2">
        <v>1420</v>
      </c>
      <c r="C15" s="2" t="s">
        <v>339</v>
      </c>
      <c r="D15" s="2" t="s">
        <v>90</v>
      </c>
      <c r="E15" s="2" t="s">
        <v>41</v>
      </c>
      <c r="F15" s="2">
        <v>47</v>
      </c>
      <c r="G15" s="2" t="s">
        <v>190</v>
      </c>
      <c r="H15" s="79" t="s">
        <v>189</v>
      </c>
      <c r="I15" s="79" t="s">
        <v>91</v>
      </c>
      <c r="J15" s="79" t="s">
        <v>173</v>
      </c>
      <c r="K15" s="79" t="s">
        <v>453</v>
      </c>
      <c r="L15" s="81"/>
    </row>
    <row r="16" spans="1:12" ht="19.899999999999999" customHeight="1">
      <c r="A16" s="78" t="s">
        <v>454</v>
      </c>
      <c r="B16" s="2">
        <v>1380</v>
      </c>
      <c r="C16" s="2" t="s">
        <v>339</v>
      </c>
      <c r="D16" s="2" t="s">
        <v>90</v>
      </c>
      <c r="E16" s="2" t="s">
        <v>41</v>
      </c>
      <c r="F16" s="2">
        <v>48</v>
      </c>
      <c r="G16" s="2" t="s">
        <v>190</v>
      </c>
      <c r="H16" s="79" t="s">
        <v>189</v>
      </c>
      <c r="I16" s="79" t="s">
        <v>91</v>
      </c>
      <c r="J16" s="79" t="s">
        <v>173</v>
      </c>
      <c r="K16" s="79" t="s">
        <v>455</v>
      </c>
      <c r="L16" s="81"/>
    </row>
    <row r="17" spans="1:12" ht="19.899999999999999" customHeight="1">
      <c r="A17" s="145" t="s">
        <v>456</v>
      </c>
      <c r="B17" s="146">
        <v>220</v>
      </c>
      <c r="C17" s="146" t="s">
        <v>39</v>
      </c>
      <c r="D17" s="147" t="s">
        <v>44</v>
      </c>
      <c r="E17" s="147" t="s">
        <v>45</v>
      </c>
      <c r="F17" s="147" t="s">
        <v>46</v>
      </c>
      <c r="G17" s="147" t="s">
        <v>74</v>
      </c>
      <c r="H17" s="147" t="s">
        <v>189</v>
      </c>
      <c r="I17" s="147" t="s">
        <v>91</v>
      </c>
      <c r="J17" s="147" t="s">
        <v>42</v>
      </c>
      <c r="K17" s="147" t="s">
        <v>455</v>
      </c>
      <c r="L17" s="159"/>
    </row>
    <row r="18" spans="1:12" ht="19.899999999999999" customHeight="1">
      <c r="A18" s="145" t="s">
        <v>457</v>
      </c>
      <c r="B18" s="146">
        <v>270</v>
      </c>
      <c r="C18" s="146" t="s">
        <v>39</v>
      </c>
      <c r="D18" s="147" t="s">
        <v>44</v>
      </c>
      <c r="E18" s="147" t="s">
        <v>45</v>
      </c>
      <c r="F18" s="147" t="s">
        <v>46</v>
      </c>
      <c r="G18" s="147" t="s">
        <v>74</v>
      </c>
      <c r="H18" s="147" t="s">
        <v>189</v>
      </c>
      <c r="I18" s="147" t="s">
        <v>91</v>
      </c>
      <c r="J18" s="147" t="s">
        <v>42</v>
      </c>
      <c r="K18" s="147" t="s">
        <v>364</v>
      </c>
      <c r="L18" s="159"/>
    </row>
    <row r="19" spans="1:12" ht="19.899999999999999" customHeight="1">
      <c r="A19" s="145" t="s">
        <v>458</v>
      </c>
      <c r="B19" s="146">
        <v>190</v>
      </c>
      <c r="C19" s="146" t="s">
        <v>39</v>
      </c>
      <c r="D19" s="147" t="s">
        <v>44</v>
      </c>
      <c r="E19" s="147" t="s">
        <v>45</v>
      </c>
      <c r="F19" s="147" t="s">
        <v>46</v>
      </c>
      <c r="G19" s="147" t="s">
        <v>74</v>
      </c>
      <c r="H19" s="147" t="s">
        <v>189</v>
      </c>
      <c r="I19" s="147" t="s">
        <v>91</v>
      </c>
      <c r="J19" s="147" t="s">
        <v>42</v>
      </c>
      <c r="K19" s="147" t="s">
        <v>354</v>
      </c>
      <c r="L19" s="159"/>
    </row>
    <row r="20" spans="1:12" ht="19.899999999999999" customHeight="1">
      <c r="A20" s="145" t="s">
        <v>459</v>
      </c>
      <c r="B20" s="191">
        <v>140</v>
      </c>
      <c r="C20" s="146" t="s">
        <v>39</v>
      </c>
      <c r="D20" s="147" t="s">
        <v>44</v>
      </c>
      <c r="E20" s="147" t="s">
        <v>45</v>
      </c>
      <c r="F20" s="147" t="s">
        <v>46</v>
      </c>
      <c r="G20" s="147" t="s">
        <v>74</v>
      </c>
      <c r="H20" s="147" t="s">
        <v>189</v>
      </c>
      <c r="I20" s="147" t="s">
        <v>91</v>
      </c>
      <c r="J20" s="147" t="s">
        <v>42</v>
      </c>
      <c r="K20" s="147" t="s">
        <v>348</v>
      </c>
      <c r="L20" s="175"/>
    </row>
    <row r="21" spans="1:12" ht="19.899999999999999" customHeight="1">
      <c r="A21" s="145" t="s">
        <v>460</v>
      </c>
      <c r="B21" s="146">
        <v>270</v>
      </c>
      <c r="C21" s="146" t="s">
        <v>39</v>
      </c>
      <c r="D21" s="147" t="s">
        <v>189</v>
      </c>
      <c r="E21" s="147" t="s">
        <v>91</v>
      </c>
      <c r="F21" s="147" t="s">
        <v>42</v>
      </c>
      <c r="G21" s="147" t="s">
        <v>360</v>
      </c>
      <c r="H21" s="147" t="s">
        <v>44</v>
      </c>
      <c r="I21" s="147" t="s">
        <v>45</v>
      </c>
      <c r="J21" s="147" t="s">
        <v>46</v>
      </c>
      <c r="K21" s="147" t="s">
        <v>74</v>
      </c>
      <c r="L21" s="159"/>
    </row>
    <row r="22" spans="1:12" ht="19.899999999999999" customHeight="1">
      <c r="A22" s="145" t="s">
        <v>461</v>
      </c>
      <c r="B22" s="146">
        <v>220</v>
      </c>
      <c r="C22" s="146" t="s">
        <v>39</v>
      </c>
      <c r="D22" s="147" t="s">
        <v>189</v>
      </c>
      <c r="E22" s="147" t="s">
        <v>91</v>
      </c>
      <c r="F22" s="147" t="s">
        <v>42</v>
      </c>
      <c r="G22" s="147" t="s">
        <v>453</v>
      </c>
      <c r="H22" s="147" t="s">
        <v>44</v>
      </c>
      <c r="I22" s="147" t="s">
        <v>45</v>
      </c>
      <c r="J22" s="147" t="s">
        <v>46</v>
      </c>
      <c r="K22" s="147" t="s">
        <v>74</v>
      </c>
      <c r="L22" s="159"/>
    </row>
    <row r="23" spans="1:12" ht="19.899999999999999" customHeight="1">
      <c r="A23" s="145" t="s">
        <v>462</v>
      </c>
      <c r="B23" s="146">
        <v>320</v>
      </c>
      <c r="C23" s="146" t="s">
        <v>39</v>
      </c>
      <c r="D23" s="147" t="s">
        <v>189</v>
      </c>
      <c r="E23" s="147" t="s">
        <v>91</v>
      </c>
      <c r="F23" s="147" t="s">
        <v>42</v>
      </c>
      <c r="G23" s="147" t="s">
        <v>345</v>
      </c>
      <c r="H23" s="147" t="s">
        <v>44</v>
      </c>
      <c r="I23" s="147" t="s">
        <v>45</v>
      </c>
      <c r="J23" s="147" t="s">
        <v>46</v>
      </c>
      <c r="K23" s="147" t="s">
        <v>74</v>
      </c>
      <c r="L23" s="159"/>
    </row>
    <row r="24" spans="1:12" ht="19.899999999999999" customHeight="1">
      <c r="A24" s="145" t="s">
        <v>463</v>
      </c>
      <c r="B24" s="146">
        <v>140</v>
      </c>
      <c r="C24" s="146" t="s">
        <v>39</v>
      </c>
      <c r="D24" s="147" t="s">
        <v>189</v>
      </c>
      <c r="E24" s="147" t="s">
        <v>91</v>
      </c>
      <c r="F24" s="147" t="s">
        <v>42</v>
      </c>
      <c r="G24" s="147" t="s">
        <v>351</v>
      </c>
      <c r="H24" s="147" t="s">
        <v>44</v>
      </c>
      <c r="I24" s="147" t="s">
        <v>45</v>
      </c>
      <c r="J24" s="147" t="s">
        <v>46</v>
      </c>
      <c r="K24" s="147" t="s">
        <v>74</v>
      </c>
      <c r="L24" s="159"/>
    </row>
    <row r="25" spans="1:12" ht="19.899999999999999" customHeight="1">
      <c r="A25" s="145" t="s">
        <v>464</v>
      </c>
      <c r="B25" s="146">
        <v>190</v>
      </c>
      <c r="C25" s="146" t="s">
        <v>39</v>
      </c>
      <c r="D25" s="147" t="s">
        <v>189</v>
      </c>
      <c r="E25" s="147" t="s">
        <v>91</v>
      </c>
      <c r="F25" s="147" t="s">
        <v>42</v>
      </c>
      <c r="G25" s="147" t="s">
        <v>357</v>
      </c>
      <c r="H25" s="147" t="s">
        <v>44</v>
      </c>
      <c r="I25" s="147" t="s">
        <v>45</v>
      </c>
      <c r="J25" s="147" t="s">
        <v>46</v>
      </c>
      <c r="K25" s="147" t="s">
        <v>74</v>
      </c>
      <c r="L25" s="159"/>
    </row>
    <row r="26" spans="1:12" ht="19.899999999999999" customHeight="1">
      <c r="A26" s="145" t="s">
        <v>465</v>
      </c>
      <c r="B26" s="146">
        <v>320</v>
      </c>
      <c r="C26" s="146" t="s">
        <v>39</v>
      </c>
      <c r="D26" s="147" t="s">
        <v>189</v>
      </c>
      <c r="E26" s="147" t="s">
        <v>91</v>
      </c>
      <c r="F26" s="147" t="s">
        <v>42</v>
      </c>
      <c r="G26" s="147" t="s">
        <v>439</v>
      </c>
      <c r="H26" s="147" t="s">
        <v>44</v>
      </c>
      <c r="I26" s="147" t="s">
        <v>45</v>
      </c>
      <c r="J26" s="147" t="s">
        <v>46</v>
      </c>
      <c r="K26" s="147" t="s">
        <v>74</v>
      </c>
      <c r="L26" s="159"/>
    </row>
    <row r="27" spans="1:12" ht="19.899999999999999" customHeight="1">
      <c r="A27" s="78" t="s">
        <v>466</v>
      </c>
      <c r="B27" s="2">
        <v>4740</v>
      </c>
      <c r="C27" s="2" t="s">
        <v>467</v>
      </c>
      <c r="D27" s="79" t="s">
        <v>194</v>
      </c>
      <c r="E27" s="79" t="s">
        <v>91</v>
      </c>
      <c r="F27" s="79" t="s">
        <v>309</v>
      </c>
      <c r="G27" s="79" t="s">
        <v>169</v>
      </c>
      <c r="H27" s="110" t="s">
        <v>189</v>
      </c>
      <c r="I27" s="110" t="s">
        <v>41</v>
      </c>
      <c r="J27" s="110">
        <v>4</v>
      </c>
      <c r="K27" s="135" t="s">
        <v>468</v>
      </c>
      <c r="L27" s="81"/>
    </row>
    <row r="28" spans="1:12" ht="19.899999999999999" customHeight="1">
      <c r="A28" s="148" t="s">
        <v>469</v>
      </c>
      <c r="B28" s="56">
        <v>570</v>
      </c>
      <c r="C28" s="56" t="s">
        <v>467</v>
      </c>
      <c r="D28" s="176" t="s">
        <v>189</v>
      </c>
      <c r="E28" s="176" t="s">
        <v>91</v>
      </c>
      <c r="F28" s="176">
        <v>2</v>
      </c>
      <c r="G28" s="177" t="s">
        <v>468</v>
      </c>
      <c r="H28" s="176" t="s">
        <v>196</v>
      </c>
      <c r="I28" s="176" t="s">
        <v>204</v>
      </c>
      <c r="J28" s="176" t="s">
        <v>46</v>
      </c>
      <c r="K28" s="177" t="s">
        <v>470</v>
      </c>
      <c r="L28" s="70"/>
    </row>
    <row r="29" spans="1:12" ht="19.899999999999999" customHeight="1">
      <c r="A29" s="148" t="s">
        <v>471</v>
      </c>
      <c r="B29" s="56">
        <v>1910</v>
      </c>
      <c r="C29" s="56" t="s">
        <v>467</v>
      </c>
      <c r="D29" s="176" t="s">
        <v>189</v>
      </c>
      <c r="E29" s="176" t="s">
        <v>91</v>
      </c>
      <c r="F29" s="176">
        <v>2</v>
      </c>
      <c r="G29" s="177" t="s">
        <v>472</v>
      </c>
      <c r="H29" s="176" t="s">
        <v>196</v>
      </c>
      <c r="I29" s="176" t="s">
        <v>204</v>
      </c>
      <c r="J29" s="176" t="s">
        <v>46</v>
      </c>
      <c r="K29" s="177" t="s">
        <v>470</v>
      </c>
      <c r="L29" s="70"/>
    </row>
    <row r="30" spans="1:12" ht="19.899999999999999" customHeight="1">
      <c r="A30" s="148" t="s">
        <v>473</v>
      </c>
      <c r="B30" s="56">
        <v>4180</v>
      </c>
      <c r="C30" s="56" t="s">
        <v>467</v>
      </c>
      <c r="D30" s="176" t="s">
        <v>196</v>
      </c>
      <c r="E30" s="176" t="s">
        <v>204</v>
      </c>
      <c r="F30" s="176" t="s">
        <v>46</v>
      </c>
      <c r="G30" s="177" t="s">
        <v>470</v>
      </c>
      <c r="H30" s="57" t="s">
        <v>194</v>
      </c>
      <c r="I30" s="57" t="s">
        <v>91</v>
      </c>
      <c r="J30" s="57" t="s">
        <v>428</v>
      </c>
      <c r="K30" s="57" t="s">
        <v>169</v>
      </c>
      <c r="L30" s="70"/>
    </row>
    <row r="31" spans="1:12" ht="19.899999999999999" customHeight="1">
      <c r="A31" s="82" t="s">
        <v>474</v>
      </c>
      <c r="B31" s="2">
        <v>6080</v>
      </c>
      <c r="C31" s="2" t="s">
        <v>467</v>
      </c>
      <c r="D31" s="79" t="s">
        <v>194</v>
      </c>
      <c r="E31" s="79" t="s">
        <v>91</v>
      </c>
      <c r="F31" s="79" t="s">
        <v>235</v>
      </c>
      <c r="G31" s="79" t="s">
        <v>169</v>
      </c>
      <c r="H31" s="110" t="s">
        <v>189</v>
      </c>
      <c r="I31" s="110" t="s">
        <v>91</v>
      </c>
      <c r="J31" s="110">
        <v>4</v>
      </c>
      <c r="K31" s="135" t="s">
        <v>472</v>
      </c>
      <c r="L31" s="81"/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J3:K3"/>
    <mergeCell ref="A1:B2"/>
    <mergeCell ref="C1:E2"/>
    <mergeCell ref="F1:G1"/>
    <mergeCell ref="F2:G2"/>
    <mergeCell ref="B3:D3"/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</mergeCells>
  <pageMargins left="0.31496062992125984" right="0.19685039370078741" top="0.19685039370078741" bottom="0.19685039370078741" header="0" footer="0"/>
  <pageSetup paperSize="9" scale="77" orientation="landscape" r:id="rId1"/>
  <headerFooter>
    <oddFooter>&amp;R&amp;"Calibri,Regular"&amp;9IT 002/05 - REV.01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AE8F-06EB-44D6-ABD9-6E693C00A07E}">
  <dimension ref="A1:L35"/>
  <sheetViews>
    <sheetView showGridLines="0" topLeftCell="A16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1.42578125" style="4" bestFit="1" customWidth="1"/>
    <col min="7" max="7" width="24.140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4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475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78" t="s">
        <v>476</v>
      </c>
      <c r="B7" s="186">
        <v>1910</v>
      </c>
      <c r="C7" s="179" t="s">
        <v>467</v>
      </c>
      <c r="D7" s="180" t="s">
        <v>189</v>
      </c>
      <c r="E7" s="180" t="s">
        <v>91</v>
      </c>
      <c r="F7" s="180">
        <v>3</v>
      </c>
      <c r="G7" s="121" t="s">
        <v>472</v>
      </c>
      <c r="H7" s="180" t="s">
        <v>196</v>
      </c>
      <c r="I7" s="180" t="s">
        <v>204</v>
      </c>
      <c r="J7" s="180" t="s">
        <v>46</v>
      </c>
      <c r="K7" s="121" t="s">
        <v>477</v>
      </c>
      <c r="L7" s="181"/>
    </row>
    <row r="8" spans="1:12" ht="19.899999999999999" customHeight="1">
      <c r="A8" s="182" t="s">
        <v>478</v>
      </c>
      <c r="B8" s="186">
        <v>570</v>
      </c>
      <c r="C8" s="183" t="s">
        <v>467</v>
      </c>
      <c r="D8" s="180" t="s">
        <v>189</v>
      </c>
      <c r="E8" s="180" t="s">
        <v>91</v>
      </c>
      <c r="F8" s="180">
        <v>3</v>
      </c>
      <c r="G8" s="121" t="s">
        <v>468</v>
      </c>
      <c r="H8" s="184" t="s">
        <v>196</v>
      </c>
      <c r="I8" s="184" t="s">
        <v>204</v>
      </c>
      <c r="J8" s="184" t="s">
        <v>46</v>
      </c>
      <c r="K8" s="184" t="s">
        <v>477</v>
      </c>
      <c r="L8" s="185"/>
    </row>
    <row r="9" spans="1:12" ht="19.899999999999999" customHeight="1">
      <c r="A9" s="182" t="s">
        <v>479</v>
      </c>
      <c r="B9" s="186">
        <v>4180</v>
      </c>
      <c r="C9" s="186" t="s">
        <v>420</v>
      </c>
      <c r="D9" s="184" t="s">
        <v>196</v>
      </c>
      <c r="E9" s="184" t="s">
        <v>204</v>
      </c>
      <c r="F9" s="184" t="s">
        <v>46</v>
      </c>
      <c r="G9" s="184" t="s">
        <v>477</v>
      </c>
      <c r="H9" s="184" t="s">
        <v>480</v>
      </c>
      <c r="I9" s="184" t="s">
        <v>41</v>
      </c>
      <c r="J9" s="184" t="s">
        <v>55</v>
      </c>
      <c r="K9" s="184" t="s">
        <v>169</v>
      </c>
      <c r="L9" s="122"/>
    </row>
    <row r="10" spans="1:12" ht="19.899999999999999" customHeight="1">
      <c r="A10" s="78" t="s">
        <v>481</v>
      </c>
      <c r="B10" s="2">
        <v>4640</v>
      </c>
      <c r="C10" s="2" t="s">
        <v>185</v>
      </c>
      <c r="D10" s="79" t="s">
        <v>480</v>
      </c>
      <c r="E10" s="79" t="s">
        <v>41</v>
      </c>
      <c r="F10" s="79" t="s">
        <v>248</v>
      </c>
      <c r="G10" s="79" t="s">
        <v>169</v>
      </c>
      <c r="H10" s="2" t="s">
        <v>61</v>
      </c>
      <c r="I10" s="2" t="s">
        <v>41</v>
      </c>
      <c r="J10" s="2" t="s">
        <v>212</v>
      </c>
      <c r="K10" s="2" t="s">
        <v>63</v>
      </c>
      <c r="L10" s="81"/>
    </row>
    <row r="11" spans="1:12" ht="19.899999999999999" customHeight="1">
      <c r="A11" s="78" t="s">
        <v>482</v>
      </c>
      <c r="B11" s="2">
        <v>4500</v>
      </c>
      <c r="C11" s="2" t="s">
        <v>185</v>
      </c>
      <c r="D11" s="79" t="s">
        <v>480</v>
      </c>
      <c r="E11" s="79" t="s">
        <v>41</v>
      </c>
      <c r="F11" s="79" t="s">
        <v>316</v>
      </c>
      <c r="G11" s="79" t="s">
        <v>169</v>
      </c>
      <c r="H11" s="79" t="s">
        <v>50</v>
      </c>
      <c r="I11" s="79" t="s">
        <v>41</v>
      </c>
      <c r="J11" s="79" t="s">
        <v>483</v>
      </c>
      <c r="K11" s="79" t="s">
        <v>43</v>
      </c>
      <c r="L11" s="81" t="s">
        <v>48</v>
      </c>
    </row>
    <row r="12" spans="1:12" ht="19.899999999999999" customHeight="1">
      <c r="A12" s="78" t="s">
        <v>484</v>
      </c>
      <c r="B12" s="2">
        <v>150</v>
      </c>
      <c r="C12" s="2" t="s">
        <v>485</v>
      </c>
      <c r="D12" s="79" t="s">
        <v>50</v>
      </c>
      <c r="E12" s="79" t="s">
        <v>41</v>
      </c>
      <c r="F12" s="79" t="s">
        <v>486</v>
      </c>
      <c r="G12" s="79" t="s">
        <v>43</v>
      </c>
      <c r="H12" s="79" t="s">
        <v>50</v>
      </c>
      <c r="I12" s="79" t="s">
        <v>41</v>
      </c>
      <c r="J12" s="79" t="s">
        <v>235</v>
      </c>
      <c r="K12" s="79" t="s">
        <v>43</v>
      </c>
      <c r="L12" s="81" t="s">
        <v>487</v>
      </c>
    </row>
    <row r="13" spans="1:12" ht="19.5" customHeight="1">
      <c r="A13" s="78" t="s">
        <v>488</v>
      </c>
      <c r="B13" s="2">
        <v>150</v>
      </c>
      <c r="C13" s="2" t="s">
        <v>485</v>
      </c>
      <c r="D13" s="79" t="s">
        <v>50</v>
      </c>
      <c r="E13" s="79" t="s">
        <v>41</v>
      </c>
      <c r="F13" s="79" t="s">
        <v>302</v>
      </c>
      <c r="G13" s="79" t="s">
        <v>43</v>
      </c>
      <c r="H13" s="79" t="s">
        <v>50</v>
      </c>
      <c r="I13" s="79" t="s">
        <v>41</v>
      </c>
      <c r="J13" s="79" t="s">
        <v>489</v>
      </c>
      <c r="K13" s="79" t="s">
        <v>43</v>
      </c>
      <c r="L13" s="81" t="s">
        <v>487</v>
      </c>
    </row>
    <row r="14" spans="1:12" ht="19.5" customHeight="1">
      <c r="A14" s="78" t="s">
        <v>490</v>
      </c>
      <c r="B14" s="2">
        <v>1810</v>
      </c>
      <c r="C14" s="2" t="s">
        <v>491</v>
      </c>
      <c r="D14" s="79" t="s">
        <v>50</v>
      </c>
      <c r="E14" s="79" t="s">
        <v>41</v>
      </c>
      <c r="F14" s="79" t="s">
        <v>304</v>
      </c>
      <c r="G14" s="79" t="s">
        <v>43</v>
      </c>
      <c r="H14" s="79" t="s">
        <v>94</v>
      </c>
      <c r="I14" s="79" t="s">
        <v>176</v>
      </c>
      <c r="J14" s="79" t="s">
        <v>173</v>
      </c>
      <c r="K14" s="79" t="s">
        <v>492</v>
      </c>
      <c r="L14" s="81" t="s">
        <v>48</v>
      </c>
    </row>
    <row r="15" spans="1:12" ht="19.899999999999999" customHeight="1">
      <c r="A15" s="167" t="s">
        <v>493</v>
      </c>
      <c r="B15" s="169">
        <v>1980</v>
      </c>
      <c r="C15" s="169" t="s">
        <v>494</v>
      </c>
      <c r="D15" s="173" t="s">
        <v>94</v>
      </c>
      <c r="E15" s="173" t="s">
        <v>176</v>
      </c>
      <c r="F15" s="173" t="s">
        <v>53</v>
      </c>
      <c r="G15" s="173" t="s">
        <v>492</v>
      </c>
      <c r="H15" s="173" t="s">
        <v>44</v>
      </c>
      <c r="I15" s="173" t="s">
        <v>45</v>
      </c>
      <c r="J15" s="173" t="s">
        <v>46</v>
      </c>
      <c r="K15" s="173" t="s">
        <v>495</v>
      </c>
      <c r="L15" s="174"/>
    </row>
    <row r="16" spans="1:12" ht="19.899999999999999" customHeight="1">
      <c r="A16" s="53" t="s">
        <v>496</v>
      </c>
      <c r="B16" s="54">
        <v>730</v>
      </c>
      <c r="C16" s="54" t="s">
        <v>494</v>
      </c>
      <c r="D16" s="51" t="s">
        <v>44</v>
      </c>
      <c r="E16" s="51" t="s">
        <v>45</v>
      </c>
      <c r="F16" s="51" t="s">
        <v>46</v>
      </c>
      <c r="G16" s="51" t="s">
        <v>497</v>
      </c>
      <c r="H16" s="173" t="s">
        <v>44</v>
      </c>
      <c r="I16" s="173" t="s">
        <v>45</v>
      </c>
      <c r="J16" s="173" t="s">
        <v>46</v>
      </c>
      <c r="K16" s="173" t="s">
        <v>495</v>
      </c>
      <c r="L16" s="174"/>
    </row>
    <row r="17" spans="1:12" ht="19.899999999999999" customHeight="1">
      <c r="A17" s="167" t="s">
        <v>498</v>
      </c>
      <c r="B17" s="169">
        <v>1430</v>
      </c>
      <c r="C17" s="169" t="s">
        <v>494</v>
      </c>
      <c r="D17" s="173" t="s">
        <v>44</v>
      </c>
      <c r="E17" s="173" t="s">
        <v>45</v>
      </c>
      <c r="F17" s="173" t="s">
        <v>46</v>
      </c>
      <c r="G17" s="173" t="s">
        <v>495</v>
      </c>
      <c r="H17" s="71" t="s">
        <v>44</v>
      </c>
      <c r="I17" s="71" t="s">
        <v>45</v>
      </c>
      <c r="J17" s="71" t="s">
        <v>46</v>
      </c>
      <c r="K17" s="71" t="s">
        <v>499</v>
      </c>
      <c r="L17" s="72"/>
    </row>
    <row r="18" spans="1:12" ht="19.899999999999999" customHeight="1">
      <c r="A18" s="167" t="s">
        <v>500</v>
      </c>
      <c r="B18" s="169">
        <v>1380</v>
      </c>
      <c r="C18" s="169" t="s">
        <v>420</v>
      </c>
      <c r="D18" s="173" t="s">
        <v>44</v>
      </c>
      <c r="E18" s="173" t="s">
        <v>45</v>
      </c>
      <c r="F18" s="173" t="s">
        <v>46</v>
      </c>
      <c r="G18" s="173" t="s">
        <v>495</v>
      </c>
      <c r="H18" s="173" t="s">
        <v>68</v>
      </c>
      <c r="I18" s="173" t="s">
        <v>41</v>
      </c>
      <c r="J18" s="173" t="s">
        <v>173</v>
      </c>
      <c r="K18" s="173" t="s">
        <v>501</v>
      </c>
      <c r="L18" s="174"/>
    </row>
    <row r="19" spans="1:12" ht="19.899999999999999" customHeight="1">
      <c r="A19" s="167" t="s">
        <v>502</v>
      </c>
      <c r="B19" s="169">
        <v>1220</v>
      </c>
      <c r="C19" s="169" t="s">
        <v>420</v>
      </c>
      <c r="D19" s="173" t="s">
        <v>44</v>
      </c>
      <c r="E19" s="173" t="s">
        <v>45</v>
      </c>
      <c r="F19" s="173" t="s">
        <v>46</v>
      </c>
      <c r="G19" s="173" t="s">
        <v>495</v>
      </c>
      <c r="H19" s="173" t="s">
        <v>68</v>
      </c>
      <c r="I19" s="173" t="s">
        <v>41</v>
      </c>
      <c r="J19" s="173" t="s">
        <v>173</v>
      </c>
      <c r="K19" s="173" t="s">
        <v>503</v>
      </c>
      <c r="L19" s="174"/>
    </row>
    <row r="20" spans="1:12" ht="19.899999999999999" customHeight="1">
      <c r="A20" s="53" t="s">
        <v>504</v>
      </c>
      <c r="B20" s="54">
        <v>2120</v>
      </c>
      <c r="C20" s="54" t="s">
        <v>420</v>
      </c>
      <c r="D20" s="187" t="s">
        <v>68</v>
      </c>
      <c r="E20" s="187" t="s">
        <v>41</v>
      </c>
      <c r="F20" s="187">
        <v>5</v>
      </c>
      <c r="G20" s="140" t="s">
        <v>472</v>
      </c>
      <c r="H20" s="51" t="s">
        <v>44</v>
      </c>
      <c r="I20" s="51" t="s">
        <v>45</v>
      </c>
      <c r="J20" s="51" t="s">
        <v>46</v>
      </c>
      <c r="K20" s="51" t="s">
        <v>497</v>
      </c>
      <c r="L20" s="52"/>
    </row>
    <row r="21" spans="1:12" ht="19.899999999999999" customHeight="1">
      <c r="A21" s="53" t="s">
        <v>505</v>
      </c>
      <c r="B21" s="54">
        <v>1230</v>
      </c>
      <c r="C21" s="54" t="s">
        <v>420</v>
      </c>
      <c r="D21" s="187" t="s">
        <v>68</v>
      </c>
      <c r="E21" s="187" t="s">
        <v>41</v>
      </c>
      <c r="F21" s="187">
        <v>2</v>
      </c>
      <c r="G21" s="140" t="s">
        <v>506</v>
      </c>
      <c r="H21" s="51" t="s">
        <v>44</v>
      </c>
      <c r="I21" s="51" t="s">
        <v>45</v>
      </c>
      <c r="J21" s="51" t="s">
        <v>46</v>
      </c>
      <c r="K21" s="51" t="s">
        <v>497</v>
      </c>
      <c r="L21" s="52"/>
    </row>
    <row r="22" spans="1:12" ht="19.899999999999999" customHeight="1">
      <c r="A22" s="53" t="s">
        <v>507</v>
      </c>
      <c r="B22" s="54">
        <v>770</v>
      </c>
      <c r="C22" s="54" t="s">
        <v>420</v>
      </c>
      <c r="D22" s="187" t="s">
        <v>68</v>
      </c>
      <c r="E22" s="187" t="s">
        <v>41</v>
      </c>
      <c r="F22" s="187">
        <v>5</v>
      </c>
      <c r="G22" s="140" t="s">
        <v>468</v>
      </c>
      <c r="H22" s="51" t="s">
        <v>44</v>
      </c>
      <c r="I22" s="51" t="s">
        <v>45</v>
      </c>
      <c r="J22" s="51" t="s">
        <v>46</v>
      </c>
      <c r="K22" s="51" t="s">
        <v>497</v>
      </c>
      <c r="L22" s="52"/>
    </row>
    <row r="23" spans="1:12" ht="19.899999999999999" customHeight="1">
      <c r="A23" s="117" t="s">
        <v>508</v>
      </c>
      <c r="B23" s="114">
        <v>2650</v>
      </c>
      <c r="C23" s="114" t="s">
        <v>494</v>
      </c>
      <c r="D23" s="71" t="s">
        <v>50</v>
      </c>
      <c r="E23" s="71" t="s">
        <v>41</v>
      </c>
      <c r="F23" s="71" t="s">
        <v>509</v>
      </c>
      <c r="G23" s="71" t="s">
        <v>43</v>
      </c>
      <c r="H23" s="71" t="s">
        <v>44</v>
      </c>
      <c r="I23" s="71" t="s">
        <v>45</v>
      </c>
      <c r="J23" s="71" t="s">
        <v>46</v>
      </c>
      <c r="K23" s="71" t="s">
        <v>499</v>
      </c>
      <c r="L23" s="72" t="s">
        <v>48</v>
      </c>
    </row>
    <row r="24" spans="1:12" ht="19.899999999999999" customHeight="1">
      <c r="A24" s="117" t="s">
        <v>510</v>
      </c>
      <c r="B24" s="114">
        <v>1000</v>
      </c>
      <c r="C24" s="114" t="s">
        <v>420</v>
      </c>
      <c r="D24" s="71" t="s">
        <v>44</v>
      </c>
      <c r="E24" s="71" t="s">
        <v>45</v>
      </c>
      <c r="F24" s="71" t="s">
        <v>46</v>
      </c>
      <c r="G24" s="71" t="s">
        <v>499</v>
      </c>
      <c r="H24" s="113" t="s">
        <v>68</v>
      </c>
      <c r="I24" s="113" t="s">
        <v>41</v>
      </c>
      <c r="J24" s="113">
        <v>2</v>
      </c>
      <c r="K24" s="115" t="s">
        <v>511</v>
      </c>
      <c r="L24" s="72"/>
    </row>
    <row r="25" spans="1:12" ht="19.899999999999999" customHeight="1">
      <c r="A25" s="117" t="s">
        <v>512</v>
      </c>
      <c r="B25" s="114">
        <v>2720</v>
      </c>
      <c r="C25" s="114" t="s">
        <v>420</v>
      </c>
      <c r="D25" s="71" t="s">
        <v>44</v>
      </c>
      <c r="E25" s="71" t="s">
        <v>45</v>
      </c>
      <c r="F25" s="71" t="s">
        <v>46</v>
      </c>
      <c r="G25" s="71" t="s">
        <v>499</v>
      </c>
      <c r="H25" s="113" t="s">
        <v>68</v>
      </c>
      <c r="I25" s="113" t="s">
        <v>41</v>
      </c>
      <c r="J25" s="113">
        <v>2</v>
      </c>
      <c r="K25" s="115" t="s">
        <v>105</v>
      </c>
      <c r="L25" s="72"/>
    </row>
    <row r="26" spans="1:12" ht="19.899999999999999" customHeight="1">
      <c r="A26" s="78" t="s">
        <v>513</v>
      </c>
      <c r="B26" s="2">
        <v>1190</v>
      </c>
      <c r="C26" s="2" t="s">
        <v>175</v>
      </c>
      <c r="D26" s="79" t="s">
        <v>94</v>
      </c>
      <c r="E26" s="79" t="s">
        <v>176</v>
      </c>
      <c r="F26" s="79" t="s">
        <v>173</v>
      </c>
      <c r="G26" s="134" t="s">
        <v>514</v>
      </c>
      <c r="H26" s="79" t="s">
        <v>515</v>
      </c>
      <c r="I26" s="79" t="s">
        <v>41</v>
      </c>
      <c r="J26" s="79" t="s">
        <v>516</v>
      </c>
      <c r="K26" s="79" t="s">
        <v>43</v>
      </c>
      <c r="L26" s="81" t="s">
        <v>517</v>
      </c>
    </row>
    <row r="27" spans="1:12" ht="19.899999999999999" customHeight="1">
      <c r="A27" s="82" t="s">
        <v>518</v>
      </c>
      <c r="B27" s="2">
        <v>1190</v>
      </c>
      <c r="C27" s="2" t="s">
        <v>175</v>
      </c>
      <c r="D27" s="79" t="s">
        <v>94</v>
      </c>
      <c r="E27" s="79" t="s">
        <v>176</v>
      </c>
      <c r="F27" s="79" t="s">
        <v>53</v>
      </c>
      <c r="G27" s="134" t="s">
        <v>514</v>
      </c>
      <c r="H27" s="79" t="s">
        <v>515</v>
      </c>
      <c r="I27" s="79" t="s">
        <v>41</v>
      </c>
      <c r="J27" s="79" t="s">
        <v>519</v>
      </c>
      <c r="K27" s="79" t="s">
        <v>43</v>
      </c>
      <c r="L27" s="81" t="s">
        <v>517</v>
      </c>
    </row>
    <row r="28" spans="1:12" ht="19.899999999999999" customHeight="1">
      <c r="A28" s="82" t="s">
        <v>520</v>
      </c>
      <c r="B28" s="2">
        <v>1190</v>
      </c>
      <c r="C28" s="2" t="s">
        <v>175</v>
      </c>
      <c r="D28" s="79" t="s">
        <v>94</v>
      </c>
      <c r="E28" s="79" t="s">
        <v>176</v>
      </c>
      <c r="F28" s="79" t="s">
        <v>51</v>
      </c>
      <c r="G28" s="134" t="s">
        <v>514</v>
      </c>
      <c r="H28" s="79" t="s">
        <v>515</v>
      </c>
      <c r="I28" s="79" t="s">
        <v>41</v>
      </c>
      <c r="J28" s="79" t="s">
        <v>521</v>
      </c>
      <c r="K28" s="79" t="s">
        <v>43</v>
      </c>
      <c r="L28" s="81" t="s">
        <v>517</v>
      </c>
    </row>
    <row r="29" spans="1:12" ht="19.899999999999999" customHeight="1">
      <c r="A29" s="160" t="s">
        <v>522</v>
      </c>
      <c r="B29" s="146">
        <v>260</v>
      </c>
      <c r="C29" s="146" t="s">
        <v>185</v>
      </c>
      <c r="D29" s="147" t="s">
        <v>44</v>
      </c>
      <c r="E29" s="147" t="s">
        <v>45</v>
      </c>
      <c r="F29" s="147" t="s">
        <v>46</v>
      </c>
      <c r="G29" s="147" t="s">
        <v>523</v>
      </c>
      <c r="H29" s="147" t="s">
        <v>50</v>
      </c>
      <c r="I29" s="147" t="s">
        <v>41</v>
      </c>
      <c r="J29" s="147" t="s">
        <v>524</v>
      </c>
      <c r="K29" s="147" t="s">
        <v>43</v>
      </c>
      <c r="L29" s="159" t="s">
        <v>48</v>
      </c>
    </row>
    <row r="30" spans="1:12" ht="19.899999999999999" customHeight="1">
      <c r="A30" s="188" t="s">
        <v>525</v>
      </c>
      <c r="B30" s="189">
        <v>260</v>
      </c>
      <c r="C30" s="189" t="s">
        <v>485</v>
      </c>
      <c r="D30" s="147" t="s">
        <v>44</v>
      </c>
      <c r="E30" s="147" t="s">
        <v>45</v>
      </c>
      <c r="F30" s="147" t="s">
        <v>46</v>
      </c>
      <c r="G30" s="147" t="s">
        <v>523</v>
      </c>
      <c r="H30" s="147" t="s">
        <v>50</v>
      </c>
      <c r="I30" s="147" t="s">
        <v>41</v>
      </c>
      <c r="J30" s="147" t="s">
        <v>526</v>
      </c>
      <c r="K30" s="147" t="s">
        <v>43</v>
      </c>
      <c r="L30" s="159" t="s">
        <v>48</v>
      </c>
    </row>
    <row r="31" spans="1:12" ht="19.899999999999999" customHeight="1">
      <c r="A31" s="145" t="s">
        <v>527</v>
      </c>
      <c r="B31" s="146">
        <v>260</v>
      </c>
      <c r="C31" s="191" t="s">
        <v>485</v>
      </c>
      <c r="D31" s="147" t="s">
        <v>44</v>
      </c>
      <c r="E31" s="147" t="s">
        <v>45</v>
      </c>
      <c r="F31" s="147" t="s">
        <v>46</v>
      </c>
      <c r="G31" s="147" t="s">
        <v>523</v>
      </c>
      <c r="H31" s="147" t="s">
        <v>50</v>
      </c>
      <c r="I31" s="147" t="s">
        <v>41</v>
      </c>
      <c r="J31" s="147" t="s">
        <v>528</v>
      </c>
      <c r="K31" s="147" t="s">
        <v>43</v>
      </c>
      <c r="L31" s="175" t="s">
        <v>48</v>
      </c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J3:K3"/>
    <mergeCell ref="A1:B2"/>
    <mergeCell ref="C1:E2"/>
    <mergeCell ref="F1:G1"/>
    <mergeCell ref="F2:G2"/>
    <mergeCell ref="B3:D3"/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</mergeCells>
  <pageMargins left="0.31496062992125984" right="0.19685039370078741" top="0.19685039370078741" bottom="0.19685039370078741" header="0" footer="0"/>
  <pageSetup paperSize="9" scale="77" orientation="landscape" r:id="rId1"/>
  <headerFooter>
    <oddFooter>&amp;R&amp;"Calibri,Regular"&amp;9IT 002/05 - REV.01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7B47-3C32-4020-8CD2-2E8C8A1965FB}">
  <dimension ref="A1:L35"/>
  <sheetViews>
    <sheetView showGridLines="0" zoomScaleNormal="100" workbookViewId="0">
      <selection activeCell="A6" sqref="A6:L30"/>
    </sheetView>
  </sheetViews>
  <sheetFormatPr defaultColWidth="8.85546875" defaultRowHeight="12.75"/>
  <cols>
    <col min="1" max="1" width="11.140625" style="4" bestFit="1" customWidth="1"/>
    <col min="2" max="2" width="7.7109375" style="4" customWidth="1"/>
    <col min="3" max="3" width="11.28515625" style="4" customWidth="1"/>
    <col min="4" max="4" width="22.140625" style="4" bestFit="1" customWidth="1"/>
    <col min="5" max="5" width="8.42578125" style="4" customWidth="1"/>
    <col min="6" max="6" width="12.7109375" style="4" bestFit="1" customWidth="1"/>
    <col min="7" max="7" width="20.28515625" style="4" bestFit="1" customWidth="1"/>
    <col min="8" max="8" width="22.140625" style="4" bestFit="1" customWidth="1"/>
    <col min="9" max="9" width="14.85546875" style="4" bestFit="1" customWidth="1"/>
    <col min="10" max="10" width="9.28515625" style="4" bestFit="1" customWidth="1"/>
    <col min="11" max="11" width="24.28515625" style="4" bestFit="1" customWidth="1"/>
    <col min="12" max="12" width="11.8554687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0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">
        <v>7</v>
      </c>
      <c r="G2" s="212"/>
      <c r="H2" s="24" t="s">
        <v>8</v>
      </c>
      <c r="I2" s="24" t="s">
        <v>9</v>
      </c>
      <c r="J2" s="24" t="s">
        <v>10</v>
      </c>
      <c r="K2" s="24" t="s">
        <v>9</v>
      </c>
      <c r="L2" s="25" t="s">
        <v>529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v>43097</v>
      </c>
      <c r="B4" s="219" t="s">
        <v>20</v>
      </c>
      <c r="C4" s="219"/>
      <c r="D4" s="219"/>
      <c r="E4" s="36" t="s">
        <v>21</v>
      </c>
      <c r="F4" s="17" t="s">
        <v>22</v>
      </c>
      <c r="G4" s="18" t="s">
        <v>23</v>
      </c>
      <c r="H4" s="18" t="s">
        <v>24</v>
      </c>
      <c r="I4" s="18" t="s">
        <v>25</v>
      </c>
      <c r="J4" s="220" t="s">
        <v>20</v>
      </c>
      <c r="K4" s="220"/>
      <c r="L4" s="22"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90" t="s">
        <v>26</v>
      </c>
      <c r="B6" s="28" t="s">
        <v>27</v>
      </c>
      <c r="C6" s="28" t="s">
        <v>28</v>
      </c>
      <c r="D6" s="31" t="s">
        <v>29</v>
      </c>
      <c r="E6" s="38" t="s">
        <v>30</v>
      </c>
      <c r="F6" s="31" t="s">
        <v>31</v>
      </c>
      <c r="G6" s="31" t="s">
        <v>32</v>
      </c>
      <c r="H6" s="31" t="s">
        <v>33</v>
      </c>
      <c r="I6" s="38" t="s">
        <v>34</v>
      </c>
      <c r="J6" s="31" t="s">
        <v>35</v>
      </c>
      <c r="K6" s="31" t="s">
        <v>36</v>
      </c>
      <c r="L6" s="39" t="s">
        <v>37</v>
      </c>
    </row>
    <row r="7" spans="1:12" ht="19.899999999999999" customHeight="1">
      <c r="A7" s="145" t="s">
        <v>530</v>
      </c>
      <c r="B7" s="146">
        <v>260</v>
      </c>
      <c r="C7" s="191" t="s">
        <v>485</v>
      </c>
      <c r="D7" s="147" t="s">
        <v>44</v>
      </c>
      <c r="E7" s="147" t="s">
        <v>45</v>
      </c>
      <c r="F7" s="147" t="s">
        <v>46</v>
      </c>
      <c r="G7" s="147" t="s">
        <v>523</v>
      </c>
      <c r="H7" s="147" t="s">
        <v>50</v>
      </c>
      <c r="I7" s="147" t="s">
        <v>41</v>
      </c>
      <c r="J7" s="147" t="s">
        <v>531</v>
      </c>
      <c r="K7" s="147" t="s">
        <v>43</v>
      </c>
      <c r="L7" s="175" t="s">
        <v>48</v>
      </c>
    </row>
    <row r="8" spans="1:12" ht="19.899999999999999" customHeight="1">
      <c r="A8" s="145" t="s">
        <v>532</v>
      </c>
      <c r="B8" s="191">
        <v>260</v>
      </c>
      <c r="C8" s="191" t="s">
        <v>485</v>
      </c>
      <c r="D8" s="147" t="s">
        <v>44</v>
      </c>
      <c r="E8" s="147" t="s">
        <v>45</v>
      </c>
      <c r="F8" s="147" t="s">
        <v>46</v>
      </c>
      <c r="G8" s="147" t="s">
        <v>523</v>
      </c>
      <c r="H8" s="147" t="s">
        <v>50</v>
      </c>
      <c r="I8" s="147" t="s">
        <v>41</v>
      </c>
      <c r="J8" s="147" t="s">
        <v>533</v>
      </c>
      <c r="K8" s="147" t="s">
        <v>43</v>
      </c>
      <c r="L8" s="175" t="s">
        <v>48</v>
      </c>
    </row>
    <row r="9" spans="1:12" ht="19.899999999999999" customHeight="1">
      <c r="A9" s="145" t="s">
        <v>534</v>
      </c>
      <c r="B9" s="146">
        <v>260</v>
      </c>
      <c r="C9" s="191" t="s">
        <v>485</v>
      </c>
      <c r="D9" s="147" t="s">
        <v>44</v>
      </c>
      <c r="E9" s="147" t="s">
        <v>45</v>
      </c>
      <c r="F9" s="147" t="s">
        <v>46</v>
      </c>
      <c r="G9" s="147" t="s">
        <v>523</v>
      </c>
      <c r="H9" s="147" t="s">
        <v>50</v>
      </c>
      <c r="I9" s="147" t="s">
        <v>41</v>
      </c>
      <c r="J9" s="147" t="s">
        <v>535</v>
      </c>
      <c r="K9" s="147" t="s">
        <v>43</v>
      </c>
      <c r="L9" s="175" t="s">
        <v>48</v>
      </c>
    </row>
    <row r="10" spans="1:12" ht="19.899999999999999" customHeight="1">
      <c r="A10" s="145" t="s">
        <v>536</v>
      </c>
      <c r="B10" s="146">
        <v>260</v>
      </c>
      <c r="C10" s="191" t="s">
        <v>485</v>
      </c>
      <c r="D10" s="147" t="s">
        <v>44</v>
      </c>
      <c r="E10" s="147" t="s">
        <v>45</v>
      </c>
      <c r="F10" s="147" t="s">
        <v>46</v>
      </c>
      <c r="G10" s="147" t="s">
        <v>523</v>
      </c>
      <c r="H10" s="147" t="s">
        <v>50</v>
      </c>
      <c r="I10" s="147" t="s">
        <v>41</v>
      </c>
      <c r="J10" s="147" t="s">
        <v>537</v>
      </c>
      <c r="K10" s="147" t="s">
        <v>43</v>
      </c>
      <c r="L10" s="175" t="s">
        <v>48</v>
      </c>
    </row>
    <row r="11" spans="1:12" ht="19.899999999999999" customHeight="1">
      <c r="A11" s="145" t="s">
        <v>538</v>
      </c>
      <c r="B11" s="146">
        <v>260</v>
      </c>
      <c r="C11" s="191" t="s">
        <v>485</v>
      </c>
      <c r="D11" s="147" t="s">
        <v>44</v>
      </c>
      <c r="E11" s="147" t="s">
        <v>45</v>
      </c>
      <c r="F11" s="147" t="s">
        <v>46</v>
      </c>
      <c r="G11" s="147" t="s">
        <v>523</v>
      </c>
      <c r="H11" s="147" t="s">
        <v>50</v>
      </c>
      <c r="I11" s="147" t="s">
        <v>41</v>
      </c>
      <c r="J11" s="147" t="s">
        <v>539</v>
      </c>
      <c r="K11" s="147" t="s">
        <v>43</v>
      </c>
      <c r="L11" s="175" t="s">
        <v>48</v>
      </c>
    </row>
    <row r="12" spans="1:12" ht="19.899999999999999" customHeight="1">
      <c r="A12" s="145" t="s">
        <v>540</v>
      </c>
      <c r="B12" s="146">
        <v>370</v>
      </c>
      <c r="C12" s="191" t="s">
        <v>180</v>
      </c>
      <c r="D12" s="147" t="s">
        <v>181</v>
      </c>
      <c r="E12" s="147" t="s">
        <v>182</v>
      </c>
      <c r="F12" s="147" t="s">
        <v>46</v>
      </c>
      <c r="G12" s="190" t="s">
        <v>541</v>
      </c>
      <c r="H12" s="147" t="s">
        <v>44</v>
      </c>
      <c r="I12" s="147" t="s">
        <v>45</v>
      </c>
      <c r="J12" s="147" t="s">
        <v>46</v>
      </c>
      <c r="K12" s="147" t="s">
        <v>523</v>
      </c>
      <c r="L12" s="175"/>
    </row>
    <row r="13" spans="1:12" ht="19.5" customHeight="1">
      <c r="A13" s="78" t="s">
        <v>542</v>
      </c>
      <c r="B13" s="2">
        <v>2070</v>
      </c>
      <c r="C13" s="157" t="s">
        <v>301</v>
      </c>
      <c r="D13" s="110" t="s">
        <v>189</v>
      </c>
      <c r="E13" s="110" t="s">
        <v>91</v>
      </c>
      <c r="F13" s="110">
        <v>10</v>
      </c>
      <c r="G13" s="135" t="s">
        <v>472</v>
      </c>
      <c r="H13" s="110" t="s">
        <v>189</v>
      </c>
      <c r="I13" s="110" t="s">
        <v>91</v>
      </c>
      <c r="J13" s="110">
        <v>10</v>
      </c>
      <c r="K13" s="135" t="s">
        <v>468</v>
      </c>
      <c r="L13" s="158"/>
    </row>
    <row r="14" spans="1:12" ht="19.5" customHeight="1">
      <c r="A14" s="78"/>
      <c r="B14" s="80"/>
      <c r="C14" s="2"/>
      <c r="D14" s="79"/>
      <c r="E14" s="79"/>
      <c r="F14" s="79"/>
      <c r="G14" s="134"/>
      <c r="H14" s="79"/>
      <c r="I14" s="79"/>
      <c r="J14" s="79"/>
      <c r="K14" s="79"/>
      <c r="L14" s="81"/>
    </row>
    <row r="15" spans="1:12" ht="19.899999999999999" customHeight="1">
      <c r="A15" s="78"/>
      <c r="B15" s="80"/>
      <c r="C15" s="2"/>
      <c r="D15" s="79"/>
      <c r="E15" s="79"/>
      <c r="F15" s="79"/>
      <c r="G15" s="134"/>
      <c r="H15" s="110"/>
      <c r="I15" s="110"/>
      <c r="J15" s="110"/>
      <c r="K15" s="135"/>
      <c r="L15" s="81"/>
    </row>
    <row r="16" spans="1:12" ht="19.899999999999999" customHeight="1">
      <c r="A16" s="78"/>
      <c r="B16" s="80"/>
      <c r="C16" s="2"/>
      <c r="D16" s="79"/>
      <c r="E16" s="79"/>
      <c r="F16" s="79"/>
      <c r="G16" s="134"/>
      <c r="H16" s="110"/>
      <c r="I16" s="110"/>
      <c r="J16" s="110"/>
      <c r="K16" s="135"/>
      <c r="L16" s="81"/>
    </row>
    <row r="17" spans="1:12" ht="19.899999999999999" customHeight="1">
      <c r="A17" s="78"/>
      <c r="B17" s="80"/>
      <c r="C17" s="2"/>
      <c r="D17" s="79"/>
      <c r="E17" s="79"/>
      <c r="F17" s="79"/>
      <c r="G17" s="134"/>
      <c r="H17" s="2"/>
      <c r="I17" s="2"/>
      <c r="J17" s="2"/>
      <c r="K17" s="2"/>
      <c r="L17" s="81"/>
    </row>
    <row r="18" spans="1:12" ht="19.899999999999999" customHeight="1">
      <c r="A18" s="78"/>
      <c r="B18" s="80"/>
      <c r="C18" s="2"/>
      <c r="D18" s="79"/>
      <c r="E18" s="79"/>
      <c r="F18" s="79"/>
      <c r="G18" s="134"/>
      <c r="H18" s="79"/>
      <c r="I18" s="79"/>
      <c r="J18" s="2"/>
      <c r="K18" s="2"/>
      <c r="L18" s="81"/>
    </row>
    <row r="19" spans="1:12" ht="19.899999999999999" customHeight="1">
      <c r="A19" s="78"/>
      <c r="B19" s="80"/>
      <c r="C19" s="2"/>
      <c r="D19" s="79"/>
      <c r="E19" s="79"/>
      <c r="F19" s="79"/>
      <c r="G19" s="134"/>
      <c r="H19" s="79"/>
      <c r="I19" s="79"/>
      <c r="J19" s="79"/>
      <c r="K19" s="79"/>
      <c r="L19" s="81"/>
    </row>
    <row r="20" spans="1:12" ht="19.899999999999999" customHeight="1">
      <c r="A20" s="78"/>
      <c r="B20" s="80"/>
      <c r="C20" s="2"/>
      <c r="D20" s="79"/>
      <c r="E20" s="79"/>
      <c r="F20" s="79"/>
      <c r="G20" s="134"/>
      <c r="H20" s="79"/>
      <c r="I20" s="79"/>
      <c r="J20" s="79"/>
      <c r="K20" s="79"/>
      <c r="L20" s="81"/>
    </row>
    <row r="21" spans="1:12" ht="19.899999999999999" customHeight="1">
      <c r="A21" s="78"/>
      <c r="B21" s="80"/>
      <c r="C21" s="2"/>
      <c r="D21" s="79"/>
      <c r="E21" s="79"/>
      <c r="F21" s="79"/>
      <c r="G21" s="134"/>
      <c r="H21" s="79"/>
      <c r="I21" s="79"/>
      <c r="J21" s="79"/>
      <c r="K21" s="79"/>
      <c r="L21" s="81"/>
    </row>
    <row r="22" spans="1:12" ht="19.899999999999999" customHeight="1">
      <c r="A22" s="78"/>
      <c r="B22" s="80"/>
      <c r="C22" s="2"/>
      <c r="D22" s="79"/>
      <c r="E22" s="79"/>
      <c r="F22" s="79"/>
      <c r="G22" s="134"/>
      <c r="H22" s="79"/>
      <c r="I22" s="79"/>
      <c r="J22" s="79"/>
      <c r="K22" s="79"/>
      <c r="L22" s="81"/>
    </row>
    <row r="23" spans="1:12" ht="19.899999999999999" customHeight="1">
      <c r="A23" s="78"/>
      <c r="B23" s="80"/>
      <c r="C23" s="2"/>
      <c r="D23" s="79"/>
      <c r="E23" s="79"/>
      <c r="F23" s="79"/>
      <c r="G23" s="134"/>
      <c r="H23" s="79"/>
      <c r="I23" s="79"/>
      <c r="J23" s="79"/>
      <c r="K23" s="79"/>
      <c r="L23" s="81"/>
    </row>
    <row r="24" spans="1:12" ht="19.899999999999999" customHeight="1">
      <c r="A24" s="78"/>
      <c r="B24" s="80"/>
      <c r="C24" s="2"/>
      <c r="D24" s="79"/>
      <c r="E24" s="79"/>
      <c r="F24" s="79"/>
      <c r="G24" s="134"/>
      <c r="H24" s="79"/>
      <c r="I24" s="79"/>
      <c r="J24" s="79"/>
      <c r="K24" s="79"/>
      <c r="L24" s="81"/>
    </row>
    <row r="25" spans="1:12" ht="19.899999999999999" customHeight="1">
      <c r="A25" s="78"/>
      <c r="B25" s="80"/>
      <c r="C25" s="2"/>
      <c r="D25" s="79"/>
      <c r="E25" s="79"/>
      <c r="F25" s="79"/>
      <c r="G25" s="134"/>
      <c r="H25" s="79"/>
      <c r="I25" s="79"/>
      <c r="J25" s="79"/>
      <c r="K25" s="79"/>
      <c r="L25" s="81"/>
    </row>
    <row r="26" spans="1:12" ht="19.899999999999999" customHeight="1">
      <c r="A26" s="78"/>
      <c r="B26" s="80"/>
      <c r="C26" s="2"/>
      <c r="D26" s="79"/>
      <c r="E26" s="79"/>
      <c r="F26" s="79"/>
      <c r="G26" s="134"/>
      <c r="H26" s="79"/>
      <c r="I26" s="79"/>
      <c r="J26" s="79"/>
      <c r="K26" s="79"/>
      <c r="L26" s="81"/>
    </row>
    <row r="27" spans="1:12" ht="19.899999999999999" customHeight="1">
      <c r="A27" s="82"/>
      <c r="B27" s="80"/>
      <c r="C27" s="2"/>
      <c r="D27" s="79"/>
      <c r="E27" s="79"/>
      <c r="F27" s="79"/>
      <c r="G27" s="134"/>
      <c r="H27" s="79"/>
      <c r="I27" s="79"/>
      <c r="J27" s="79"/>
      <c r="K27" s="79"/>
      <c r="L27" s="81"/>
    </row>
    <row r="28" spans="1:12" ht="19.899999999999999" customHeight="1">
      <c r="A28" s="82"/>
      <c r="B28" s="80"/>
      <c r="C28" s="2"/>
      <c r="D28" s="79"/>
      <c r="E28" s="79"/>
      <c r="F28" s="79"/>
      <c r="G28" s="134"/>
      <c r="H28" s="79"/>
      <c r="I28" s="79"/>
      <c r="J28" s="79"/>
      <c r="K28" s="79"/>
      <c r="L28" s="81"/>
    </row>
    <row r="29" spans="1:12" ht="19.899999999999999" customHeight="1">
      <c r="A29" s="82"/>
      <c r="B29" s="80"/>
      <c r="C29" s="2"/>
      <c r="D29" s="79"/>
      <c r="E29" s="79"/>
      <c r="F29" s="79"/>
      <c r="G29" s="134"/>
      <c r="H29" s="79"/>
      <c r="I29" s="79"/>
      <c r="J29" s="79"/>
      <c r="K29" s="79"/>
      <c r="L29" s="81"/>
    </row>
    <row r="30" spans="1:12" ht="19.899999999999999" customHeight="1">
      <c r="A30" s="82"/>
      <c r="B30" s="80"/>
      <c r="C30" s="2"/>
      <c r="D30" s="79"/>
      <c r="E30" s="79"/>
      <c r="F30" s="79"/>
      <c r="G30" s="134"/>
      <c r="H30" s="79"/>
      <c r="I30" s="79"/>
      <c r="J30" s="79"/>
      <c r="K30" s="79"/>
      <c r="L30" s="81"/>
    </row>
    <row r="31" spans="1:12" ht="19.899999999999999" customHeight="1">
      <c r="A31" s="82"/>
      <c r="B31" s="80"/>
      <c r="C31" s="2"/>
      <c r="D31" s="79"/>
      <c r="E31" s="79"/>
      <c r="F31" s="79"/>
      <c r="G31" s="134"/>
      <c r="H31" s="79"/>
      <c r="I31" s="79"/>
      <c r="J31" s="79"/>
      <c r="K31" s="79"/>
      <c r="L31" s="81"/>
    </row>
    <row r="32" spans="1:12" ht="19.899999999999999" customHeight="1" thickBot="1">
      <c r="A32" s="208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10"/>
    </row>
    <row r="33" spans="1:12" s="7" customFormat="1" ht="16.899999999999999" customHeight="1">
      <c r="A33" s="221" t="s">
        <v>108</v>
      </c>
      <c r="B33" s="8" t="s">
        <v>109</v>
      </c>
      <c r="C33" s="213" t="s">
        <v>110</v>
      </c>
      <c r="D33" s="213"/>
      <c r="E33" s="205" t="s">
        <v>111</v>
      </c>
      <c r="F33" s="205"/>
      <c r="G33" s="11" t="s">
        <v>112</v>
      </c>
      <c r="H33" s="11" t="s">
        <v>113</v>
      </c>
      <c r="I33" s="11" t="s">
        <v>114</v>
      </c>
      <c r="J33" s="205" t="s">
        <v>115</v>
      </c>
      <c r="K33" s="8" t="s">
        <v>116</v>
      </c>
      <c r="L33" s="12" t="s">
        <v>117</v>
      </c>
    </row>
    <row r="34" spans="1:12" s="7" customFormat="1" ht="16.899999999999999" customHeight="1">
      <c r="A34" s="222"/>
      <c r="B34" s="9" t="s">
        <v>118</v>
      </c>
      <c r="C34" s="214" t="s">
        <v>119</v>
      </c>
      <c r="D34" s="214"/>
      <c r="E34" s="206"/>
      <c r="F34" s="206"/>
      <c r="G34" s="13" t="s">
        <v>120</v>
      </c>
      <c r="H34" s="13" t="s">
        <v>121</v>
      </c>
      <c r="I34" s="13" t="s">
        <v>122</v>
      </c>
      <c r="J34" s="206"/>
      <c r="K34" s="9" t="s">
        <v>123</v>
      </c>
      <c r="L34" s="14" t="s">
        <v>124</v>
      </c>
    </row>
    <row r="35" spans="1:12" s="7" customFormat="1" ht="16.899999999999999" customHeight="1" thickBot="1">
      <c r="A35" s="223"/>
      <c r="B35" s="10" t="s">
        <v>125</v>
      </c>
      <c r="C35" s="215" t="s">
        <v>126</v>
      </c>
      <c r="D35" s="215"/>
      <c r="E35" s="207"/>
      <c r="F35" s="207"/>
      <c r="G35" s="15" t="s">
        <v>127</v>
      </c>
      <c r="H35" s="15" t="s">
        <v>128</v>
      </c>
      <c r="I35" s="15" t="s">
        <v>129</v>
      </c>
      <c r="J35" s="207"/>
      <c r="K35" s="10" t="s">
        <v>130</v>
      </c>
      <c r="L35" s="16" t="s">
        <v>131</v>
      </c>
    </row>
  </sheetData>
  <mergeCells count="16">
    <mergeCell ref="J3:K3"/>
    <mergeCell ref="A1:B2"/>
    <mergeCell ref="C1:E2"/>
    <mergeCell ref="F1:G1"/>
    <mergeCell ref="F2:G2"/>
    <mergeCell ref="B3:D3"/>
    <mergeCell ref="B4:D4"/>
    <mergeCell ref="J4:K4"/>
    <mergeCell ref="A5:L5"/>
    <mergeCell ref="A32:L32"/>
    <mergeCell ref="A33:A35"/>
    <mergeCell ref="C33:D33"/>
    <mergeCell ref="E33:F35"/>
    <mergeCell ref="J33:J35"/>
    <mergeCell ref="C34:D34"/>
    <mergeCell ref="C35:D35"/>
  </mergeCells>
  <pageMargins left="0.31496062992125984" right="0.19685039370078741" top="0.19685039370078741" bottom="0.19685039370078741" header="0" footer="0"/>
  <pageSetup paperSize="9" scale="82" orientation="landscape" r:id="rId1"/>
  <headerFooter>
    <oddFooter>&amp;R&amp;"Calibri,Regular"&amp;9IT 002/05 - REV.01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zoomScaleNormal="100" workbookViewId="0">
      <selection activeCell="A6" sqref="A6"/>
    </sheetView>
  </sheetViews>
  <sheetFormatPr defaultColWidth="8.85546875" defaultRowHeight="12.75"/>
  <cols>
    <col min="1" max="1" width="8.7109375" style="4" customWidth="1"/>
    <col min="2" max="2" width="7.7109375" style="4" customWidth="1"/>
    <col min="3" max="3" width="15.42578125" style="4" customWidth="1"/>
    <col min="4" max="4" width="10" style="4" customWidth="1"/>
    <col min="5" max="5" width="7.7109375" style="4" customWidth="1"/>
    <col min="6" max="6" width="12.7109375" style="4" bestFit="1" customWidth="1"/>
    <col min="7" max="7" width="15.7109375" style="4" customWidth="1"/>
    <col min="8" max="8" width="19.7109375" style="4" customWidth="1"/>
    <col min="9" max="11" width="15.7109375" style="4" customWidth="1"/>
    <col min="12" max="12" width="12.140625" style="4" bestFit="1" customWidth="1"/>
    <col min="13" max="16384" width="8.85546875" style="4"/>
  </cols>
  <sheetData>
    <row r="1" spans="1:12" ht="19.899999999999999" customHeight="1">
      <c r="A1" s="199"/>
      <c r="B1" s="200"/>
      <c r="C1" s="195" t="s">
        <v>543</v>
      </c>
      <c r="D1" s="195"/>
      <c r="E1" s="196"/>
      <c r="F1" s="203" t="s">
        <v>1</v>
      </c>
      <c r="G1" s="204"/>
      <c r="H1" s="23" t="s">
        <v>2</v>
      </c>
      <c r="I1" s="23" t="s">
        <v>3</v>
      </c>
      <c r="J1" s="23" t="s">
        <v>4</v>
      </c>
      <c r="K1" s="23" t="s">
        <v>5</v>
      </c>
      <c r="L1" s="21" t="s">
        <v>6</v>
      </c>
    </row>
    <row r="2" spans="1:12" s="5" customFormat="1" ht="30" customHeight="1" thickBot="1">
      <c r="A2" s="201"/>
      <c r="B2" s="202"/>
      <c r="C2" s="197"/>
      <c r="D2" s="197"/>
      <c r="E2" s="198"/>
      <c r="F2" s="211" t="str">
        <f>'IT CABOS'!F2:G2</f>
        <v>940 MAIN HARNESS H5 (PC0013060)</v>
      </c>
      <c r="G2" s="212"/>
      <c r="H2" s="24" t="str">
        <f>'IT CABOS'!H2</f>
        <v>OXB134 00A 000</v>
      </c>
      <c r="I2" s="24" t="str">
        <f>'IT CABOS'!I2</f>
        <v>V.Lemos</v>
      </c>
      <c r="J2" s="24" t="str">
        <f>'IT CABOS'!J2</f>
        <v>H.Braga</v>
      </c>
      <c r="K2" s="24" t="str">
        <f>'IT CABOS'!K2</f>
        <v>V.Lemos</v>
      </c>
      <c r="L2" s="25" t="s">
        <v>544</v>
      </c>
    </row>
    <row r="3" spans="1:12" s="6" customFormat="1" ht="19.899999999999999" customHeight="1">
      <c r="A3" s="34" t="s">
        <v>12</v>
      </c>
      <c r="B3" s="204" t="s">
        <v>13</v>
      </c>
      <c r="C3" s="204"/>
      <c r="D3" s="204"/>
      <c r="E3" s="37" t="s">
        <v>14</v>
      </c>
      <c r="F3" s="19" t="s">
        <v>15</v>
      </c>
      <c r="G3" s="20" t="s">
        <v>16</v>
      </c>
      <c r="H3" s="20" t="s">
        <v>17</v>
      </c>
      <c r="I3" s="20" t="s">
        <v>18</v>
      </c>
      <c r="J3" s="204" t="s">
        <v>19</v>
      </c>
      <c r="K3" s="204"/>
      <c r="L3" s="21" t="s">
        <v>12</v>
      </c>
    </row>
    <row r="4" spans="1:12" s="6" customFormat="1" ht="30" customHeight="1" thickBot="1">
      <c r="A4" s="35">
        <f>'IT CABOS'!A4</f>
        <v>43097</v>
      </c>
      <c r="B4" s="219" t="str">
        <f>'IT CABOS'!B4:D4</f>
        <v>Emissão Inicial</v>
      </c>
      <c r="C4" s="219"/>
      <c r="D4" s="219"/>
      <c r="E4" s="36" t="str">
        <f>'IT CABOS'!E4</f>
        <v>01</v>
      </c>
      <c r="F4" s="17" t="s">
        <v>545</v>
      </c>
      <c r="G4" s="18" t="s">
        <v>23</v>
      </c>
      <c r="H4" s="18" t="s">
        <v>350</v>
      </c>
      <c r="I4" s="33" t="str">
        <f>'IT CABOS'!I4</f>
        <v>00</v>
      </c>
      <c r="J4" s="220" t="str">
        <f>'IT CABOS'!J4:K4</f>
        <v>Emissão Inicial</v>
      </c>
      <c r="K4" s="220"/>
      <c r="L4" s="22">
        <f>'IT CABOS'!L4</f>
        <v>46297</v>
      </c>
    </row>
    <row r="5" spans="1:12" ht="19.899999999999999" customHeight="1" thickBot="1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8"/>
    </row>
    <row r="6" spans="1:12" ht="19.899999999999999" customHeight="1" thickBot="1">
      <c r="A6" s="26" t="s">
        <v>546</v>
      </c>
      <c r="B6" s="27" t="s">
        <v>27</v>
      </c>
      <c r="C6" s="28" t="s">
        <v>28</v>
      </c>
      <c r="D6" s="29" t="s">
        <v>547</v>
      </c>
      <c r="E6" s="254" t="s">
        <v>548</v>
      </c>
      <c r="F6" s="255"/>
      <c r="G6" s="255"/>
      <c r="H6" s="255"/>
      <c r="I6" s="255"/>
      <c r="J6" s="254" t="s">
        <v>549</v>
      </c>
      <c r="K6" s="255"/>
      <c r="L6" s="256"/>
    </row>
    <row r="7" spans="1:12" ht="19.899999999999999" customHeight="1">
      <c r="A7" s="258" t="s">
        <v>550</v>
      </c>
      <c r="B7" s="224">
        <v>40</v>
      </c>
      <c r="C7" s="224" t="s">
        <v>551</v>
      </c>
      <c r="D7" s="224" t="s">
        <v>552</v>
      </c>
      <c r="E7" s="242" t="s">
        <v>553</v>
      </c>
      <c r="F7" s="243"/>
      <c r="G7" s="243"/>
      <c r="H7" s="243"/>
      <c r="I7" s="244"/>
      <c r="J7" s="233" t="s">
        <v>554</v>
      </c>
      <c r="K7" s="234"/>
      <c r="L7" s="235"/>
    </row>
    <row r="8" spans="1:12" ht="19.899999999999999" customHeight="1">
      <c r="A8" s="259"/>
      <c r="B8" s="257"/>
      <c r="C8" s="257"/>
      <c r="D8" s="257"/>
      <c r="E8" s="245"/>
      <c r="F8" s="246"/>
      <c r="G8" s="246"/>
      <c r="H8" s="246"/>
      <c r="I8" s="247"/>
      <c r="J8" s="236"/>
      <c r="K8" s="237"/>
      <c r="L8" s="238"/>
    </row>
    <row r="9" spans="1:12" ht="19.899999999999999" customHeight="1">
      <c r="A9" s="260"/>
      <c r="B9" s="225"/>
      <c r="C9" s="225"/>
      <c r="D9" s="225"/>
      <c r="E9" s="248"/>
      <c r="F9" s="249"/>
      <c r="G9" s="249"/>
      <c r="H9" s="249"/>
      <c r="I9" s="250"/>
      <c r="J9" s="239"/>
      <c r="K9" s="240"/>
      <c r="L9" s="241"/>
    </row>
    <row r="10" spans="1:12" ht="19.899999999999999" customHeight="1">
      <c r="A10" s="264" t="s">
        <v>555</v>
      </c>
      <c r="B10" s="226">
        <v>40</v>
      </c>
      <c r="C10" s="226" t="s">
        <v>556</v>
      </c>
      <c r="D10" s="226" t="s">
        <v>557</v>
      </c>
      <c r="E10" s="261" t="s">
        <v>558</v>
      </c>
      <c r="F10" s="262"/>
      <c r="G10" s="262"/>
      <c r="H10" s="262"/>
      <c r="I10" s="263"/>
      <c r="J10" s="251" t="s">
        <v>559</v>
      </c>
      <c r="K10" s="252"/>
      <c r="L10" s="253"/>
    </row>
    <row r="11" spans="1:12" ht="19.899999999999999" customHeight="1">
      <c r="A11" s="259"/>
      <c r="B11" s="257"/>
      <c r="C11" s="257"/>
      <c r="D11" s="257"/>
      <c r="E11" s="245"/>
      <c r="F11" s="246"/>
      <c r="G11" s="246"/>
      <c r="H11" s="246"/>
      <c r="I11" s="247"/>
      <c r="J11" s="236"/>
      <c r="K11" s="237"/>
      <c r="L11" s="238"/>
    </row>
    <row r="12" spans="1:12" ht="19.899999999999999" customHeight="1">
      <c r="A12" s="260"/>
      <c r="B12" s="225"/>
      <c r="C12" s="225"/>
      <c r="D12" s="225"/>
      <c r="E12" s="248"/>
      <c r="F12" s="249"/>
      <c r="G12" s="249"/>
      <c r="H12" s="249"/>
      <c r="I12" s="250"/>
      <c r="J12" s="239"/>
      <c r="K12" s="240"/>
      <c r="L12" s="241"/>
    </row>
    <row r="13" spans="1:12" ht="19.899999999999999" customHeight="1">
      <c r="A13" s="1" t="s">
        <v>560</v>
      </c>
      <c r="B13" s="2">
        <v>40</v>
      </c>
      <c r="C13" s="3" t="s">
        <v>561</v>
      </c>
      <c r="D13" s="2" t="s">
        <v>562</v>
      </c>
      <c r="E13" s="229" t="s">
        <v>563</v>
      </c>
      <c r="F13" s="230"/>
      <c r="G13" s="230"/>
      <c r="H13" s="230"/>
      <c r="I13" s="232"/>
      <c r="J13" s="229" t="s">
        <v>564</v>
      </c>
      <c r="K13" s="230"/>
      <c r="L13" s="231"/>
    </row>
    <row r="14" spans="1:12" ht="19.899999999999999" customHeight="1">
      <c r="A14" s="1" t="s">
        <v>565</v>
      </c>
      <c r="B14" s="2">
        <v>40</v>
      </c>
      <c r="C14" s="3" t="s">
        <v>566</v>
      </c>
      <c r="D14" s="2" t="s">
        <v>567</v>
      </c>
      <c r="E14" s="229" t="s">
        <v>568</v>
      </c>
      <c r="F14" s="230"/>
      <c r="G14" s="230"/>
      <c r="H14" s="230"/>
      <c r="I14" s="232"/>
      <c r="J14" s="229" t="s">
        <v>569</v>
      </c>
      <c r="K14" s="230"/>
      <c r="L14" s="231"/>
    </row>
    <row r="15" spans="1:12" ht="19.899999999999999" customHeight="1">
      <c r="A15" s="1" t="s">
        <v>570</v>
      </c>
      <c r="B15" s="2">
        <v>30</v>
      </c>
      <c r="C15" s="3" t="s">
        <v>566</v>
      </c>
      <c r="D15" s="2" t="s">
        <v>571</v>
      </c>
      <c r="E15" s="229" t="s">
        <v>568</v>
      </c>
      <c r="F15" s="230"/>
      <c r="G15" s="230"/>
      <c r="H15" s="230"/>
      <c r="I15" s="232"/>
      <c r="J15" s="229" t="s">
        <v>181</v>
      </c>
      <c r="K15" s="230"/>
      <c r="L15" s="231"/>
    </row>
    <row r="16" spans="1:12" ht="19.899999999999999" customHeight="1">
      <c r="A16" s="1" t="s">
        <v>572</v>
      </c>
      <c r="B16" s="2">
        <v>30</v>
      </c>
      <c r="C16" s="3" t="s">
        <v>561</v>
      </c>
      <c r="D16" s="2" t="s">
        <v>573</v>
      </c>
      <c r="E16" s="229" t="s">
        <v>563</v>
      </c>
      <c r="F16" s="230"/>
      <c r="G16" s="230"/>
      <c r="H16" s="230"/>
      <c r="I16" s="232"/>
      <c r="J16" s="229" t="s">
        <v>86</v>
      </c>
      <c r="K16" s="230"/>
      <c r="L16" s="231"/>
    </row>
    <row r="17" spans="1:12" ht="19.899999999999999" customHeight="1">
      <c r="A17" s="1" t="s">
        <v>574</v>
      </c>
      <c r="B17" s="2">
        <v>155</v>
      </c>
      <c r="C17" s="3" t="s">
        <v>575</v>
      </c>
      <c r="D17" s="2" t="s">
        <v>576</v>
      </c>
      <c r="E17" s="229" t="s">
        <v>577</v>
      </c>
      <c r="F17" s="230"/>
      <c r="G17" s="230"/>
      <c r="H17" s="230"/>
      <c r="I17" s="232"/>
      <c r="J17" s="229" t="s">
        <v>578</v>
      </c>
      <c r="K17" s="230"/>
      <c r="L17" s="231"/>
    </row>
    <row r="18" spans="1:12" ht="19.899999999999999" customHeight="1">
      <c r="A18" s="1" t="s">
        <v>579</v>
      </c>
      <c r="B18" s="2">
        <v>155</v>
      </c>
      <c r="C18" s="3" t="s">
        <v>580</v>
      </c>
      <c r="D18" s="2" t="s">
        <v>571</v>
      </c>
      <c r="E18" s="229" t="s">
        <v>581</v>
      </c>
      <c r="F18" s="230"/>
      <c r="G18" s="230"/>
      <c r="H18" s="230"/>
      <c r="I18" s="232"/>
      <c r="J18" s="229" t="s">
        <v>582</v>
      </c>
      <c r="K18" s="230"/>
      <c r="L18" s="231"/>
    </row>
    <row r="19" spans="1:12" ht="19.899999999999999" customHeight="1">
      <c r="A19" s="1" t="s">
        <v>583</v>
      </c>
      <c r="B19" s="2">
        <v>155</v>
      </c>
      <c r="C19" s="3" t="s">
        <v>584</v>
      </c>
      <c r="D19" s="2" t="s">
        <v>576</v>
      </c>
      <c r="E19" s="229" t="s">
        <v>585</v>
      </c>
      <c r="F19" s="230"/>
      <c r="G19" s="230"/>
      <c r="H19" s="230"/>
      <c r="I19" s="232"/>
      <c r="J19" s="229" t="s">
        <v>586</v>
      </c>
      <c r="K19" s="230"/>
      <c r="L19" s="231"/>
    </row>
    <row r="20" spans="1:12" ht="19.899999999999999" customHeight="1">
      <c r="A20" s="1"/>
      <c r="B20" s="2"/>
      <c r="C20" s="3"/>
      <c r="D20" s="2"/>
      <c r="E20" s="229"/>
      <c r="F20" s="230"/>
      <c r="G20" s="230"/>
      <c r="H20" s="230"/>
      <c r="I20" s="232"/>
      <c r="J20" s="229"/>
      <c r="K20" s="230"/>
      <c r="L20" s="231"/>
    </row>
    <row r="21" spans="1:12" ht="19.899999999999999" customHeight="1">
      <c r="A21" s="1"/>
      <c r="B21" s="2"/>
      <c r="C21" s="3"/>
      <c r="D21" s="2"/>
      <c r="E21" s="229"/>
      <c r="F21" s="230"/>
      <c r="G21" s="230"/>
      <c r="H21" s="230"/>
      <c r="I21" s="232"/>
      <c r="J21" s="229"/>
      <c r="K21" s="230"/>
      <c r="L21" s="231"/>
    </row>
    <row r="22" spans="1:12" ht="19.899999999999999" customHeight="1">
      <c r="A22" s="1"/>
      <c r="B22" s="2"/>
      <c r="C22" s="3"/>
      <c r="D22" s="2"/>
      <c r="E22" s="229"/>
      <c r="F22" s="230"/>
      <c r="G22" s="230"/>
      <c r="H22" s="230"/>
      <c r="I22" s="232"/>
      <c r="J22" s="229"/>
      <c r="K22" s="230"/>
      <c r="L22" s="231"/>
    </row>
    <row r="23" spans="1:12" ht="19.899999999999999" customHeight="1">
      <c r="A23" s="1"/>
      <c r="B23" s="2"/>
      <c r="C23" s="3"/>
      <c r="D23" s="2"/>
      <c r="E23" s="229"/>
      <c r="F23" s="230"/>
      <c r="G23" s="230"/>
      <c r="H23" s="230"/>
      <c r="I23" s="232"/>
      <c r="J23" s="229"/>
      <c r="K23" s="230"/>
      <c r="L23" s="231"/>
    </row>
    <row r="24" spans="1:12" ht="19.899999999999999" customHeight="1">
      <c r="A24" s="1"/>
      <c r="B24" s="2"/>
      <c r="C24" s="3"/>
      <c r="D24" s="2"/>
      <c r="E24" s="229"/>
      <c r="F24" s="230"/>
      <c r="G24" s="230"/>
      <c r="H24" s="230"/>
      <c r="I24" s="232"/>
      <c r="J24" s="229"/>
      <c r="K24" s="230"/>
      <c r="L24" s="231"/>
    </row>
    <row r="25" spans="1:12" ht="19.899999999999999" customHeight="1">
      <c r="A25" s="1"/>
      <c r="B25" s="2"/>
      <c r="C25" s="3"/>
      <c r="D25" s="2"/>
      <c r="E25" s="229"/>
      <c r="F25" s="230"/>
      <c r="G25" s="230"/>
      <c r="H25" s="230"/>
      <c r="I25" s="232"/>
      <c r="J25" s="229"/>
      <c r="K25" s="230"/>
      <c r="L25" s="231"/>
    </row>
    <row r="26" spans="1:12" ht="19.899999999999999" customHeight="1">
      <c r="A26" s="1"/>
      <c r="B26" s="2"/>
      <c r="C26" s="3"/>
      <c r="D26" s="2"/>
      <c r="E26" s="229"/>
      <c r="F26" s="230"/>
      <c r="G26" s="230"/>
      <c r="H26" s="230"/>
      <c r="I26" s="232"/>
      <c r="J26" s="229"/>
      <c r="K26" s="230"/>
      <c r="L26" s="231"/>
    </row>
    <row r="27" spans="1:12" ht="19.899999999999999" customHeight="1" thickBot="1">
      <c r="A27" s="208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10"/>
    </row>
    <row r="28" spans="1:12" s="7" customFormat="1" ht="16.899999999999999" customHeight="1">
      <c r="A28" s="221" t="s">
        <v>108</v>
      </c>
      <c r="B28" s="8" t="s">
        <v>109</v>
      </c>
      <c r="C28" s="213" t="s">
        <v>110</v>
      </c>
      <c r="D28" s="213"/>
      <c r="E28" s="205" t="s">
        <v>111</v>
      </c>
      <c r="F28" s="205"/>
      <c r="G28" s="11" t="s">
        <v>112</v>
      </c>
      <c r="H28" s="11" t="s">
        <v>113</v>
      </c>
      <c r="I28" s="11" t="s">
        <v>114</v>
      </c>
      <c r="J28" s="205" t="s">
        <v>115</v>
      </c>
      <c r="K28" s="8" t="s">
        <v>116</v>
      </c>
      <c r="L28" s="12" t="s">
        <v>117</v>
      </c>
    </row>
    <row r="29" spans="1:12" s="7" customFormat="1" ht="16.899999999999999" customHeight="1">
      <c r="A29" s="222"/>
      <c r="B29" s="9" t="s">
        <v>118</v>
      </c>
      <c r="C29" s="214" t="s">
        <v>119</v>
      </c>
      <c r="D29" s="214"/>
      <c r="E29" s="206"/>
      <c r="F29" s="206"/>
      <c r="G29" s="13" t="s">
        <v>120</v>
      </c>
      <c r="H29" s="13" t="s">
        <v>121</v>
      </c>
      <c r="I29" s="13" t="s">
        <v>122</v>
      </c>
      <c r="J29" s="206"/>
      <c r="K29" s="9" t="s">
        <v>123</v>
      </c>
      <c r="L29" s="14" t="s">
        <v>124</v>
      </c>
    </row>
    <row r="30" spans="1:12" s="7" customFormat="1" ht="16.899999999999999" customHeight="1" thickBot="1">
      <c r="A30" s="223"/>
      <c r="B30" s="10" t="s">
        <v>125</v>
      </c>
      <c r="C30" s="215" t="s">
        <v>126</v>
      </c>
      <c r="D30" s="215"/>
      <c r="E30" s="207"/>
      <c r="F30" s="207"/>
      <c r="G30" s="15" t="s">
        <v>127</v>
      </c>
      <c r="H30" s="15" t="s">
        <v>128</v>
      </c>
      <c r="I30" s="15" t="s">
        <v>129</v>
      </c>
      <c r="J30" s="207"/>
      <c r="K30" s="10" t="s">
        <v>130</v>
      </c>
      <c r="L30" s="16" t="s">
        <v>131</v>
      </c>
    </row>
  </sheetData>
  <mergeCells count="58">
    <mergeCell ref="D7:D9"/>
    <mergeCell ref="C7:C9"/>
    <mergeCell ref="B7:B9"/>
    <mergeCell ref="A7:A9"/>
    <mergeCell ref="E10:I12"/>
    <mergeCell ref="D10:D12"/>
    <mergeCell ref="C10:C12"/>
    <mergeCell ref="B10:B12"/>
    <mergeCell ref="A10:A12"/>
    <mergeCell ref="F1:G1"/>
    <mergeCell ref="F2:G2"/>
    <mergeCell ref="B3:D3"/>
    <mergeCell ref="J6:L6"/>
    <mergeCell ref="E6:I6"/>
    <mergeCell ref="B4:D4"/>
    <mergeCell ref="J4:K4"/>
    <mergeCell ref="A5:L5"/>
    <mergeCell ref="A1:B2"/>
    <mergeCell ref="C1:E2"/>
    <mergeCell ref="J3:K3"/>
    <mergeCell ref="J28:J30"/>
    <mergeCell ref="C29:D29"/>
    <mergeCell ref="A27:L27"/>
    <mergeCell ref="E22:I22"/>
    <mergeCell ref="E23:I23"/>
    <mergeCell ref="E24:I24"/>
    <mergeCell ref="E25:I25"/>
    <mergeCell ref="E26:I26"/>
    <mergeCell ref="J22:L22"/>
    <mergeCell ref="J23:L23"/>
    <mergeCell ref="J24:L24"/>
    <mergeCell ref="J13:L13"/>
    <mergeCell ref="J14:L14"/>
    <mergeCell ref="E13:I13"/>
    <mergeCell ref="J7:L9"/>
    <mergeCell ref="E7:I9"/>
    <mergeCell ref="J10:L12"/>
    <mergeCell ref="J15:L15"/>
    <mergeCell ref="E14:I14"/>
    <mergeCell ref="A28:A30"/>
    <mergeCell ref="C28:D28"/>
    <mergeCell ref="E28:F30"/>
    <mergeCell ref="E17:I17"/>
    <mergeCell ref="E18:I18"/>
    <mergeCell ref="E20:I20"/>
    <mergeCell ref="E15:I15"/>
    <mergeCell ref="J16:L16"/>
    <mergeCell ref="J17:L17"/>
    <mergeCell ref="J19:L19"/>
    <mergeCell ref="J26:L26"/>
    <mergeCell ref="J21:L21"/>
    <mergeCell ref="E19:I19"/>
    <mergeCell ref="C30:D30"/>
    <mergeCell ref="J20:L20"/>
    <mergeCell ref="J18:L18"/>
    <mergeCell ref="J25:L25"/>
    <mergeCell ref="E21:I21"/>
    <mergeCell ref="E16:I16"/>
  </mergeCells>
  <phoneticPr fontId="8" type="noConversion"/>
  <pageMargins left="0.19685039370078741" right="0.19685039370078741" top="0.19685039370078741" bottom="0.19685039370078741" header="0" footer="0"/>
  <pageSetup paperSize="9" scale="93" orientation="landscape" r:id="rId1"/>
  <headerFooter>
    <oddFooter>&amp;R&amp;"Calibri,Regular"&amp;9IT 003/05 - REV.01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ddd657-5d7b-4b1e-bf11-cbc5fdd8bda7" xsi:nil="true"/>
    <TaxCatchAll xmlns="478bfbae-344b-4aaf-9941-8b7873c74f7e" xsi:nil="true"/>
    <lcf76f155ced4ddcb4097134ff3c332f xmlns="caddd657-5d7b-4b1e-bf11-cbc5fdd8bda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C3B6EA92ADD94EB46952ADA2CE7DF9" ma:contentTypeVersion="20" ma:contentTypeDescription="Crie um novo documento." ma:contentTypeScope="" ma:versionID="2c0e08e59fa87d143d556af8ecbf3c7e">
  <xsd:schema xmlns:xsd="http://www.w3.org/2001/XMLSchema" xmlns:xs="http://www.w3.org/2001/XMLSchema" xmlns:p="http://schemas.microsoft.com/office/2006/metadata/properties" xmlns:ns2="caddd657-5d7b-4b1e-bf11-cbc5fdd8bda7" xmlns:ns3="478bfbae-344b-4aaf-9941-8b7873c74f7e" targetNamespace="http://schemas.microsoft.com/office/2006/metadata/properties" ma:root="true" ma:fieldsID="d460f17409ddad93fc0041f76a939ea2" ns2:_="" ns3:_="">
    <xsd:import namespace="caddd657-5d7b-4b1e-bf11-cbc5fdd8bda7"/>
    <xsd:import namespace="478bfbae-344b-4aaf-9941-8b7873c74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dd657-5d7b-4b1e-bf11-cbc5fdd8b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7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afade85-921c-437e-950d-7eab7699c0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bfbae-344b-4aaf-9941-8b7873c74f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29728d8c-ad76-4801-bca7-4ba7758c4a98}" ma:internalName="TaxCatchAll" ma:readOnly="false" ma:showField="CatchAllData" ma:web="478bfbae-344b-4aaf-9941-8b7873c74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F4EE87-2597-4F80-A21A-2FC33EAB4543}"/>
</file>

<file path=customXml/itemProps2.xml><?xml version="1.0" encoding="utf-8"?>
<ds:datastoreItem xmlns:ds="http://schemas.openxmlformats.org/officeDocument/2006/customXml" ds:itemID="{D15CCE1B-8731-46B1-A342-9B62F45E5344}"/>
</file>

<file path=customXml/itemProps3.xml><?xml version="1.0" encoding="utf-8"?>
<ds:datastoreItem xmlns:ds="http://schemas.openxmlformats.org/officeDocument/2006/customXml" ds:itemID="{7A9D6050-FB52-442E-AFC0-5DCC2DB71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</dc:creator>
  <cp:keywords/>
  <dc:description/>
  <cp:lastModifiedBy/>
  <cp:revision/>
  <dcterms:created xsi:type="dcterms:W3CDTF">2005-09-06T20:42:37Z</dcterms:created>
  <dcterms:modified xsi:type="dcterms:W3CDTF">2026-10-22T11:41:25Z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0x010100D3C3B6EA92ADD94EB46952ADA2CE7DF9</vt:lpwstr>
  </property>
  <property fmtid="{D5CDD505-2E9C-101B-9397-08002B2CF9AE}" pid="3" name="Order">
    <vt:r8>178000</vt:r8>
  </property>
  <property fmtid="{D5CDD505-2E9C-101B-9397-08002B2CF9AE}" pid="4" name="MediaServiceImageTags">
    <vt:lpwstr/>
  </property>
</Properties>
</file>